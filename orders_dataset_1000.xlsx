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aff130a0e654055/Documents/"/>
    </mc:Choice>
  </mc:AlternateContent>
  <xr:revisionPtr revIDLastSave="0" documentId="8_{B3712D86-DDD1-41B7-8099-47294C1CE61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DATA" sheetId="1" r:id="rId1"/>
    <sheet name="BASIC CACULATOR" sheetId="3" r:id="rId2"/>
    <sheet name="DATA VALIDATION" sheetId="2" r:id="rId3"/>
    <sheet name="R&amp;C VS T" sheetId="4" r:id="rId4"/>
    <sheet name="PRODUCT" sheetId="5" r:id="rId5"/>
    <sheet name="R$C VS REGION" sheetId="6" r:id="rId6"/>
  </sheets>
  <definedNames>
    <definedName name="CS">'BASIC CACULATOR'!$G$4</definedName>
    <definedName name="PRODUCT">'BASIC CACULATOR'!$C$4</definedName>
    <definedName name="REGION">'BASIC CACULATOR'!$L$4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 a="1"/>
  <c r="K2" i="4" s="1"/>
  <c r="N2" i="4" a="1"/>
  <c r="N2" i="4" s="1"/>
  <c r="F2" i="4"/>
  <c r="I2" i="4" a="1"/>
  <c r="I2" i="4" s="1"/>
  <c r="J2" i="4" s="1" a="1"/>
  <c r="C2" i="4" a="1"/>
  <c r="C2" i="4" s="1"/>
  <c r="D2" i="4" a="1"/>
  <c r="B2" i="4" a="1"/>
  <c r="B2" i="4" s="1"/>
  <c r="A2" i="4" a="1"/>
  <c r="F207" i="4" s="1"/>
  <c r="I2" i="2" a="1"/>
  <c r="I2" i="2" s="1"/>
  <c r="J2" i="2" s="1" a="1"/>
  <c r="J2" i="2" s="1"/>
  <c r="E2" i="2" a="1"/>
  <c r="E2" i="2" s="1"/>
  <c r="G2" i="2" s="1" a="1"/>
  <c r="G2" i="2" s="1"/>
  <c r="A2" i="2" a="1"/>
  <c r="A2" i="2" s="1"/>
  <c r="C2" i="2" s="1" a="1"/>
  <c r="C2" i="2" s="1"/>
  <c r="F9" i="4" l="1"/>
  <c r="F5" i="4"/>
  <c r="F1000" i="4"/>
  <c r="F996" i="4"/>
  <c r="F992" i="4"/>
  <c r="F988" i="4"/>
  <c r="F984" i="4"/>
  <c r="F980" i="4"/>
  <c r="F976" i="4"/>
  <c r="F972" i="4"/>
  <c r="F968" i="4"/>
  <c r="F964" i="4"/>
  <c r="F960" i="4"/>
  <c r="F956" i="4"/>
  <c r="F952" i="4"/>
  <c r="F948" i="4"/>
  <c r="F944" i="4"/>
  <c r="F940" i="4"/>
  <c r="F936" i="4"/>
  <c r="F932" i="4"/>
  <c r="F928" i="4"/>
  <c r="F924" i="4"/>
  <c r="F920" i="4"/>
  <c r="F916" i="4"/>
  <c r="F912" i="4"/>
  <c r="F908" i="4"/>
  <c r="F904" i="4"/>
  <c r="F900" i="4"/>
  <c r="F896" i="4"/>
  <c r="F892" i="4"/>
  <c r="F888" i="4"/>
  <c r="F884" i="4"/>
  <c r="F880" i="4"/>
  <c r="F876" i="4"/>
  <c r="F872" i="4"/>
  <c r="F868" i="4"/>
  <c r="F864" i="4"/>
  <c r="F860" i="4"/>
  <c r="F856" i="4"/>
  <c r="F852" i="4"/>
  <c r="F848" i="4"/>
  <c r="F844" i="4"/>
  <c r="F840" i="4"/>
  <c r="F836" i="4"/>
  <c r="F832" i="4"/>
  <c r="F828" i="4"/>
  <c r="F824" i="4"/>
  <c r="F820" i="4"/>
  <c r="F816" i="4"/>
  <c r="F812" i="4"/>
  <c r="F808" i="4"/>
  <c r="F804" i="4"/>
  <c r="F800" i="4"/>
  <c r="F796" i="4"/>
  <c r="F792" i="4"/>
  <c r="F788" i="4"/>
  <c r="F784" i="4"/>
  <c r="F780" i="4"/>
  <c r="F776" i="4"/>
  <c r="F772" i="4"/>
  <c r="F768" i="4"/>
  <c r="F764" i="4"/>
  <c r="F760" i="4"/>
  <c r="F756" i="4"/>
  <c r="F752" i="4"/>
  <c r="F748" i="4"/>
  <c r="F744" i="4"/>
  <c r="F740" i="4"/>
  <c r="F736" i="4"/>
  <c r="F732" i="4"/>
  <c r="F728" i="4"/>
  <c r="F724" i="4"/>
  <c r="F720" i="4"/>
  <c r="F716" i="4"/>
  <c r="F712" i="4"/>
  <c r="F708" i="4"/>
  <c r="F704" i="4"/>
  <c r="F700" i="4"/>
  <c r="F696" i="4"/>
  <c r="F692" i="4"/>
  <c r="F688" i="4"/>
  <c r="F684" i="4"/>
  <c r="F680" i="4"/>
  <c r="F676" i="4"/>
  <c r="F672" i="4"/>
  <c r="F668" i="4"/>
  <c r="F664" i="4"/>
  <c r="F660" i="4"/>
  <c r="F656" i="4"/>
  <c r="F652" i="4"/>
  <c r="F648" i="4"/>
  <c r="F644" i="4"/>
  <c r="F640" i="4"/>
  <c r="F636" i="4"/>
  <c r="F632" i="4"/>
  <c r="F628" i="4"/>
  <c r="F624" i="4"/>
  <c r="F620" i="4"/>
  <c r="F616" i="4"/>
  <c r="F612" i="4"/>
  <c r="F608" i="4"/>
  <c r="F604" i="4"/>
  <c r="F600" i="4"/>
  <c r="F596" i="4"/>
  <c r="F592" i="4"/>
  <c r="F588" i="4"/>
  <c r="F584" i="4"/>
  <c r="F580" i="4"/>
  <c r="F576" i="4"/>
  <c r="F572" i="4"/>
  <c r="F568" i="4"/>
  <c r="F564" i="4"/>
  <c r="F560" i="4"/>
  <c r="F556" i="4"/>
  <c r="F552" i="4"/>
  <c r="F548" i="4"/>
  <c r="F544" i="4"/>
  <c r="F540" i="4"/>
  <c r="F536" i="4"/>
  <c r="F532" i="4"/>
  <c r="F528" i="4"/>
  <c r="F524" i="4"/>
  <c r="F520" i="4"/>
  <c r="F516" i="4"/>
  <c r="F512" i="4"/>
  <c r="F508" i="4"/>
  <c r="F504" i="4"/>
  <c r="F500" i="4"/>
  <c r="F496" i="4"/>
  <c r="F492" i="4"/>
  <c r="F488" i="4"/>
  <c r="F484" i="4"/>
  <c r="F480" i="4"/>
  <c r="F476" i="4"/>
  <c r="F472" i="4"/>
  <c r="F468" i="4"/>
  <c r="F464" i="4"/>
  <c r="F460" i="4"/>
  <c r="F456" i="4"/>
  <c r="F452" i="4"/>
  <c r="F448" i="4"/>
  <c r="F444" i="4"/>
  <c r="F440" i="4"/>
  <c r="F436" i="4"/>
  <c r="F432" i="4"/>
  <c r="F428" i="4"/>
  <c r="F424" i="4"/>
  <c r="F420" i="4"/>
  <c r="F416" i="4"/>
  <c r="F412" i="4"/>
  <c r="F408" i="4"/>
  <c r="F404" i="4"/>
  <c r="F400" i="4"/>
  <c r="F396" i="4"/>
  <c r="F392" i="4"/>
  <c r="F388" i="4"/>
  <c r="F384" i="4"/>
  <c r="F380" i="4"/>
  <c r="F376" i="4"/>
  <c r="F372" i="4"/>
  <c r="F368" i="4"/>
  <c r="F364" i="4"/>
  <c r="F360" i="4"/>
  <c r="F356" i="4"/>
  <c r="F352" i="4"/>
  <c r="F348" i="4"/>
  <c r="F344" i="4"/>
  <c r="F340" i="4"/>
  <c r="F336" i="4"/>
  <c r="F332" i="4"/>
  <c r="F328" i="4"/>
  <c r="F324" i="4"/>
  <c r="F320" i="4"/>
  <c r="F316" i="4"/>
  <c r="F312" i="4"/>
  <c r="F308" i="4"/>
  <c r="F304" i="4"/>
  <c r="F300" i="4"/>
  <c r="F296" i="4"/>
  <c r="F292" i="4"/>
  <c r="F288" i="4"/>
  <c r="F284" i="4"/>
  <c r="F280" i="4"/>
  <c r="F276" i="4"/>
  <c r="F272" i="4"/>
  <c r="F268" i="4"/>
  <c r="F264" i="4"/>
  <c r="F260" i="4"/>
  <c r="F256" i="4"/>
  <c r="F252" i="4"/>
  <c r="F248" i="4"/>
  <c r="F244" i="4"/>
  <c r="F240" i="4"/>
  <c r="F236" i="4"/>
  <c r="F232" i="4"/>
  <c r="F228" i="4"/>
  <c r="F224" i="4"/>
  <c r="F219" i="4"/>
  <c r="F211" i="4"/>
  <c r="F200" i="4"/>
  <c r="D2" i="4"/>
  <c r="G17" i="4"/>
  <c r="G21" i="4"/>
  <c r="G25" i="4"/>
  <c r="G29" i="4"/>
  <c r="G33" i="4"/>
  <c r="G37" i="4"/>
  <c r="G41" i="4"/>
  <c r="G45" i="4"/>
  <c r="G49" i="4"/>
  <c r="G53" i="4"/>
  <c r="G57" i="4"/>
  <c r="G61" i="4"/>
  <c r="G65" i="4"/>
  <c r="G69" i="4"/>
  <c r="G73" i="4"/>
  <c r="G77" i="4"/>
  <c r="G81" i="4"/>
  <c r="G85" i="4"/>
  <c r="G89" i="4"/>
  <c r="G93" i="4"/>
  <c r="G97" i="4"/>
  <c r="G101" i="4"/>
  <c r="G105" i="4"/>
  <c r="G109" i="4"/>
  <c r="G113" i="4"/>
  <c r="G117" i="4"/>
  <c r="G121" i="4"/>
  <c r="G125" i="4"/>
  <c r="G129" i="4"/>
  <c r="G133" i="4"/>
  <c r="G137" i="4"/>
  <c r="G141" i="4"/>
  <c r="G145" i="4"/>
  <c r="G149" i="4"/>
  <c r="G153" i="4"/>
  <c r="G157" i="4"/>
  <c r="G161" i="4"/>
  <c r="G165" i="4"/>
  <c r="G169" i="4"/>
  <c r="G173" i="4"/>
  <c r="G177" i="4"/>
  <c r="G181" i="4"/>
  <c r="G185" i="4"/>
  <c r="G189" i="4"/>
  <c r="G193" i="4"/>
  <c r="G197" i="4"/>
  <c r="G201" i="4"/>
  <c r="G205" i="4"/>
  <c r="G209" i="4"/>
  <c r="G213" i="4"/>
  <c r="G217" i="4"/>
  <c r="G221" i="4"/>
  <c r="G225" i="4"/>
  <c r="G229" i="4"/>
  <c r="G233" i="4"/>
  <c r="G237" i="4"/>
  <c r="G241" i="4"/>
  <c r="G245" i="4"/>
  <c r="G249" i="4"/>
  <c r="G253" i="4"/>
  <c r="G257" i="4"/>
  <c r="G261" i="4"/>
  <c r="G265" i="4"/>
  <c r="G269" i="4"/>
  <c r="G273" i="4"/>
  <c r="G277" i="4"/>
  <c r="G281" i="4"/>
  <c r="G285" i="4"/>
  <c r="G289" i="4"/>
  <c r="G293" i="4"/>
  <c r="G297" i="4"/>
  <c r="G301" i="4"/>
  <c r="G305" i="4"/>
  <c r="G309" i="4"/>
  <c r="G313" i="4"/>
  <c r="G317" i="4"/>
  <c r="G321" i="4"/>
  <c r="G325" i="4"/>
  <c r="G329" i="4"/>
  <c r="G333" i="4"/>
  <c r="G337" i="4"/>
  <c r="G341" i="4"/>
  <c r="G345" i="4"/>
  <c r="G349" i="4"/>
  <c r="G353" i="4"/>
  <c r="G357" i="4"/>
  <c r="G361" i="4"/>
  <c r="G365" i="4"/>
  <c r="G369" i="4"/>
  <c r="G373" i="4"/>
  <c r="G377" i="4"/>
  <c r="G381" i="4"/>
  <c r="G385" i="4"/>
  <c r="G389" i="4"/>
  <c r="G393" i="4"/>
  <c r="G397" i="4"/>
  <c r="G401" i="4"/>
  <c r="G405" i="4"/>
  <c r="G409" i="4"/>
  <c r="G413" i="4"/>
  <c r="G417" i="4"/>
  <c r="G421" i="4"/>
  <c r="G425" i="4"/>
  <c r="G429" i="4"/>
  <c r="G433" i="4"/>
  <c r="G437" i="4"/>
  <c r="G441" i="4"/>
  <c r="G445" i="4"/>
  <c r="G449" i="4"/>
  <c r="G453" i="4"/>
  <c r="G457" i="4"/>
  <c r="G461" i="4"/>
  <c r="G465" i="4"/>
  <c r="G469" i="4"/>
  <c r="G473" i="4"/>
  <c r="G477" i="4"/>
  <c r="G481" i="4"/>
  <c r="G485" i="4"/>
  <c r="G489" i="4"/>
  <c r="G493" i="4"/>
  <c r="G497" i="4"/>
  <c r="G501" i="4"/>
  <c r="G505" i="4"/>
  <c r="G509" i="4"/>
  <c r="G513" i="4"/>
  <c r="G517" i="4"/>
  <c r="G521" i="4"/>
  <c r="G525" i="4"/>
  <c r="G529" i="4"/>
  <c r="G533" i="4"/>
  <c r="G537" i="4"/>
  <c r="G541" i="4"/>
  <c r="G545" i="4"/>
  <c r="G549" i="4"/>
  <c r="G553" i="4"/>
  <c r="G557" i="4"/>
  <c r="G561" i="4"/>
  <c r="G565" i="4"/>
  <c r="G569" i="4"/>
  <c r="G573" i="4"/>
  <c r="G577" i="4"/>
  <c r="G581" i="4"/>
  <c r="G585" i="4"/>
  <c r="G589" i="4"/>
  <c r="G593" i="4"/>
  <c r="G597" i="4"/>
  <c r="G601" i="4"/>
  <c r="G605" i="4"/>
  <c r="G609" i="4"/>
  <c r="G613" i="4"/>
  <c r="G617" i="4"/>
  <c r="G621" i="4"/>
  <c r="G625" i="4"/>
  <c r="G629" i="4"/>
  <c r="G633" i="4"/>
  <c r="G637" i="4"/>
  <c r="G641" i="4"/>
  <c r="G645" i="4"/>
  <c r="G649" i="4"/>
  <c r="G653" i="4"/>
  <c r="G657" i="4"/>
  <c r="G661" i="4"/>
  <c r="G665" i="4"/>
  <c r="G669" i="4"/>
  <c r="G673" i="4"/>
  <c r="G677" i="4"/>
  <c r="G681" i="4"/>
  <c r="G685" i="4"/>
  <c r="G689" i="4"/>
  <c r="G693" i="4"/>
  <c r="G697" i="4"/>
  <c r="G701" i="4"/>
  <c r="G705" i="4"/>
  <c r="G709" i="4"/>
  <c r="G713" i="4"/>
  <c r="G717" i="4"/>
  <c r="G721" i="4"/>
  <c r="G725" i="4"/>
  <c r="G729" i="4"/>
  <c r="G733" i="4"/>
  <c r="G737" i="4"/>
  <c r="G741" i="4"/>
  <c r="G745" i="4"/>
  <c r="G749" i="4"/>
  <c r="G753" i="4"/>
  <c r="G757" i="4"/>
  <c r="G761" i="4"/>
  <c r="G765" i="4"/>
  <c r="G769" i="4"/>
  <c r="G773" i="4"/>
  <c r="G777" i="4"/>
  <c r="G16" i="4"/>
  <c r="G22" i="4"/>
  <c r="G27" i="4"/>
  <c r="G32" i="4"/>
  <c r="G38" i="4"/>
  <c r="G43" i="4"/>
  <c r="G48" i="4"/>
  <c r="G54" i="4"/>
  <c r="G59" i="4"/>
  <c r="G64" i="4"/>
  <c r="G70" i="4"/>
  <c r="G75" i="4"/>
  <c r="G80" i="4"/>
  <c r="G86" i="4"/>
  <c r="G91" i="4"/>
  <c r="G96" i="4"/>
  <c r="G102" i="4"/>
  <c r="G107" i="4"/>
  <c r="G112" i="4"/>
  <c r="G118" i="4"/>
  <c r="G123" i="4"/>
  <c r="G128" i="4"/>
  <c r="G134" i="4"/>
  <c r="G139" i="4"/>
  <c r="G144" i="4"/>
  <c r="G150" i="4"/>
  <c r="G155" i="4"/>
  <c r="G160" i="4"/>
  <c r="G166" i="4"/>
  <c r="G171" i="4"/>
  <c r="G176" i="4"/>
  <c r="G182" i="4"/>
  <c r="G187" i="4"/>
  <c r="G192" i="4"/>
  <c r="G198" i="4"/>
  <c r="G203" i="4"/>
  <c r="G208" i="4"/>
  <c r="G214" i="4"/>
  <c r="G219" i="4"/>
  <c r="G224" i="4"/>
  <c r="G230" i="4"/>
  <c r="G235" i="4"/>
  <c r="G240" i="4"/>
  <c r="G246" i="4"/>
  <c r="G251" i="4"/>
  <c r="G256" i="4"/>
  <c r="G262" i="4"/>
  <c r="G267" i="4"/>
  <c r="G272" i="4"/>
  <c r="G278" i="4"/>
  <c r="G283" i="4"/>
  <c r="G288" i="4"/>
  <c r="G294" i="4"/>
  <c r="G299" i="4"/>
  <c r="G304" i="4"/>
  <c r="G310" i="4"/>
  <c r="G315" i="4"/>
  <c r="G320" i="4"/>
  <c r="G326" i="4"/>
  <c r="G331" i="4"/>
  <c r="G336" i="4"/>
  <c r="G342" i="4"/>
  <c r="G347" i="4"/>
  <c r="G352" i="4"/>
  <c r="G358" i="4"/>
  <c r="G363" i="4"/>
  <c r="G368" i="4"/>
  <c r="G374" i="4"/>
  <c r="G379" i="4"/>
  <c r="G384" i="4"/>
  <c r="G390" i="4"/>
  <c r="G395" i="4"/>
  <c r="G400" i="4"/>
  <c r="G406" i="4"/>
  <c r="G411" i="4"/>
  <c r="G416" i="4"/>
  <c r="G422" i="4"/>
  <c r="G427" i="4"/>
  <c r="G432" i="4"/>
  <c r="G438" i="4"/>
  <c r="G443" i="4"/>
  <c r="G448" i="4"/>
  <c r="G454" i="4"/>
  <c r="G459" i="4"/>
  <c r="G464" i="4"/>
  <c r="G470" i="4"/>
  <c r="G475" i="4"/>
  <c r="G480" i="4"/>
  <c r="G486" i="4"/>
  <c r="G491" i="4"/>
  <c r="G496" i="4"/>
  <c r="G502" i="4"/>
  <c r="G507" i="4"/>
  <c r="G512" i="4"/>
  <c r="G518" i="4"/>
  <c r="G523" i="4"/>
  <c r="G528" i="4"/>
  <c r="G534" i="4"/>
  <c r="G539" i="4"/>
  <c r="G544" i="4"/>
  <c r="G550" i="4"/>
  <c r="G555" i="4"/>
  <c r="G560" i="4"/>
  <c r="G566" i="4"/>
  <c r="G571" i="4"/>
  <c r="G576" i="4"/>
  <c r="G582" i="4"/>
  <c r="G587" i="4"/>
  <c r="G592" i="4"/>
  <c r="G598" i="4"/>
  <c r="G603" i="4"/>
  <c r="G608" i="4"/>
  <c r="G614" i="4"/>
  <c r="G619" i="4"/>
  <c r="G624" i="4"/>
  <c r="G630" i="4"/>
  <c r="G635" i="4"/>
  <c r="G640" i="4"/>
  <c r="G646" i="4"/>
  <c r="G651" i="4"/>
  <c r="G656" i="4"/>
  <c r="G662" i="4"/>
  <c r="G667" i="4"/>
  <c r="G672" i="4"/>
  <c r="G678" i="4"/>
  <c r="G683" i="4"/>
  <c r="G688" i="4"/>
  <c r="G694" i="4"/>
  <c r="G699" i="4"/>
  <c r="G704" i="4"/>
  <c r="G710" i="4"/>
  <c r="G715" i="4"/>
  <c r="G720" i="4"/>
  <c r="G726" i="4"/>
  <c r="G731" i="4"/>
  <c r="G736" i="4"/>
  <c r="G742" i="4"/>
  <c r="G747" i="4"/>
  <c r="G752" i="4"/>
  <c r="G758" i="4"/>
  <c r="G763" i="4"/>
  <c r="G768" i="4"/>
  <c r="G774" i="4"/>
  <c r="G779" i="4"/>
  <c r="G783" i="4"/>
  <c r="G787" i="4"/>
  <c r="G791" i="4"/>
  <c r="G795" i="4"/>
  <c r="G799" i="4"/>
  <c r="G803" i="4"/>
  <c r="G807" i="4"/>
  <c r="G811" i="4"/>
  <c r="G815" i="4"/>
  <c r="G819" i="4"/>
  <c r="G823" i="4"/>
  <c r="G827" i="4"/>
  <c r="G831" i="4"/>
  <c r="G835" i="4"/>
  <c r="G839" i="4"/>
  <c r="G843" i="4"/>
  <c r="G847" i="4"/>
  <c r="G851" i="4"/>
  <c r="G855" i="4"/>
  <c r="G859" i="4"/>
  <c r="G863" i="4"/>
  <c r="G867" i="4"/>
  <c r="G871" i="4"/>
  <c r="G875" i="4"/>
  <c r="G879" i="4"/>
  <c r="G883" i="4"/>
  <c r="G15" i="4"/>
  <c r="G20" i="4"/>
  <c r="G26" i="4"/>
  <c r="G31" i="4"/>
  <c r="G36" i="4"/>
  <c r="G42" i="4"/>
  <c r="G47" i="4"/>
  <c r="G52" i="4"/>
  <c r="G58" i="4"/>
  <c r="G63" i="4"/>
  <c r="G68" i="4"/>
  <c r="G74" i="4"/>
  <c r="G79" i="4"/>
  <c r="G84" i="4"/>
  <c r="G90" i="4"/>
  <c r="G95" i="4"/>
  <c r="G100" i="4"/>
  <c r="G106" i="4"/>
  <c r="G111" i="4"/>
  <c r="G116" i="4"/>
  <c r="G122" i="4"/>
  <c r="G127" i="4"/>
  <c r="G132" i="4"/>
  <c r="G138" i="4"/>
  <c r="G143" i="4"/>
  <c r="G148" i="4"/>
  <c r="G154" i="4"/>
  <c r="G159" i="4"/>
  <c r="G164" i="4"/>
  <c r="G170" i="4"/>
  <c r="G175" i="4"/>
  <c r="G180" i="4"/>
  <c r="G186" i="4"/>
  <c r="G191" i="4"/>
  <c r="G196" i="4"/>
  <c r="G202" i="4"/>
  <c r="G207" i="4"/>
  <c r="G212" i="4"/>
  <c r="G218" i="4"/>
  <c r="G223" i="4"/>
  <c r="G228" i="4"/>
  <c r="G234" i="4"/>
  <c r="G239" i="4"/>
  <c r="G244" i="4"/>
  <c r="G250" i="4"/>
  <c r="G255" i="4"/>
  <c r="G260" i="4"/>
  <c r="G266" i="4"/>
  <c r="G271" i="4"/>
  <c r="G276" i="4"/>
  <c r="G282" i="4"/>
  <c r="G287" i="4"/>
  <c r="G292" i="4"/>
  <c r="G298" i="4"/>
  <c r="G303" i="4"/>
  <c r="G308" i="4"/>
  <c r="G314" i="4"/>
  <c r="G319" i="4"/>
  <c r="G324" i="4"/>
  <c r="G330" i="4"/>
  <c r="G335" i="4"/>
  <c r="G340" i="4"/>
  <c r="G346" i="4"/>
  <c r="G351" i="4"/>
  <c r="G356" i="4"/>
  <c r="G362" i="4"/>
  <c r="G367" i="4"/>
  <c r="G372" i="4"/>
  <c r="G378" i="4"/>
  <c r="G383" i="4"/>
  <c r="G388" i="4"/>
  <c r="G394" i="4"/>
  <c r="G399" i="4"/>
  <c r="G404" i="4"/>
  <c r="G410" i="4"/>
  <c r="G415" i="4"/>
  <c r="G420" i="4"/>
  <c r="G426" i="4"/>
  <c r="G431" i="4"/>
  <c r="G436" i="4"/>
  <c r="G442" i="4"/>
  <c r="G447" i="4"/>
  <c r="G452" i="4"/>
  <c r="G458" i="4"/>
  <c r="G463" i="4"/>
  <c r="G468" i="4"/>
  <c r="G474" i="4"/>
  <c r="G479" i="4"/>
  <c r="G484" i="4"/>
  <c r="G490" i="4"/>
  <c r="G495" i="4"/>
  <c r="G500" i="4"/>
  <c r="G506" i="4"/>
  <c r="G511" i="4"/>
  <c r="G516" i="4"/>
  <c r="G522" i="4"/>
  <c r="G527" i="4"/>
  <c r="G532" i="4"/>
  <c r="G538" i="4"/>
  <c r="G543" i="4"/>
  <c r="G548" i="4"/>
  <c r="G554" i="4"/>
  <c r="G559" i="4"/>
  <c r="G564" i="4"/>
  <c r="G570" i="4"/>
  <c r="G575" i="4"/>
  <c r="G580" i="4"/>
  <c r="G586" i="4"/>
  <c r="G591" i="4"/>
  <c r="G596" i="4"/>
  <c r="G602" i="4"/>
  <c r="G607" i="4"/>
  <c r="G612" i="4"/>
  <c r="G618" i="4"/>
  <c r="G623" i="4"/>
  <c r="G628" i="4"/>
  <c r="G634" i="4"/>
  <c r="G639" i="4"/>
  <c r="G644" i="4"/>
  <c r="G650" i="4"/>
  <c r="G655" i="4"/>
  <c r="G660" i="4"/>
  <c r="G666" i="4"/>
  <c r="G671" i="4"/>
  <c r="G676" i="4"/>
  <c r="G682" i="4"/>
  <c r="G687" i="4"/>
  <c r="G692" i="4"/>
  <c r="G698" i="4"/>
  <c r="G703" i="4"/>
  <c r="G708" i="4"/>
  <c r="G714" i="4"/>
  <c r="G719" i="4"/>
  <c r="G724" i="4"/>
  <c r="G730" i="4"/>
  <c r="G735" i="4"/>
  <c r="G740" i="4"/>
  <c r="G746" i="4"/>
  <c r="G751" i="4"/>
  <c r="G756" i="4"/>
  <c r="G762" i="4"/>
  <c r="G767" i="4"/>
  <c r="G772" i="4"/>
  <c r="G778" i="4"/>
  <c r="G782" i="4"/>
  <c r="G786" i="4"/>
  <c r="G790" i="4"/>
  <c r="G794" i="4"/>
  <c r="G798" i="4"/>
  <c r="G802" i="4"/>
  <c r="G806" i="4"/>
  <c r="G810" i="4"/>
  <c r="G814" i="4"/>
  <c r="G818" i="4"/>
  <c r="G822" i="4"/>
  <c r="G826" i="4"/>
  <c r="G830" i="4"/>
  <c r="G834" i="4"/>
  <c r="G838" i="4"/>
  <c r="G842" i="4"/>
  <c r="G846" i="4"/>
  <c r="G850" i="4"/>
  <c r="G854" i="4"/>
  <c r="G858" i="4"/>
  <c r="G862" i="4"/>
  <c r="G866" i="4"/>
  <c r="G870" i="4"/>
  <c r="G874" i="4"/>
  <c r="G878" i="4"/>
  <c r="G882" i="4"/>
  <c r="G23" i="4"/>
  <c r="G34" i="4"/>
  <c r="G44" i="4"/>
  <c r="G55" i="4"/>
  <c r="G66" i="4"/>
  <c r="G76" i="4"/>
  <c r="G87" i="4"/>
  <c r="G98" i="4"/>
  <c r="G108" i="4"/>
  <c r="G119" i="4"/>
  <c r="G130" i="4"/>
  <c r="G140" i="4"/>
  <c r="G151" i="4"/>
  <c r="G162" i="4"/>
  <c r="G172" i="4"/>
  <c r="G183" i="4"/>
  <c r="G194" i="4"/>
  <c r="G204" i="4"/>
  <c r="G215" i="4"/>
  <c r="G226" i="4"/>
  <c r="G236" i="4"/>
  <c r="G247" i="4"/>
  <c r="G258" i="4"/>
  <c r="G268" i="4"/>
  <c r="G279" i="4"/>
  <c r="G290" i="4"/>
  <c r="G300" i="4"/>
  <c r="G311" i="4"/>
  <c r="G322" i="4"/>
  <c r="G332" i="4"/>
  <c r="G343" i="4"/>
  <c r="G354" i="4"/>
  <c r="G364" i="4"/>
  <c r="G375" i="4"/>
  <c r="G386" i="4"/>
  <c r="G396" i="4"/>
  <c r="G407" i="4"/>
  <c r="G418" i="4"/>
  <c r="G428" i="4"/>
  <c r="G439" i="4"/>
  <c r="G450" i="4"/>
  <c r="G460" i="4"/>
  <c r="G471" i="4"/>
  <c r="G482" i="4"/>
  <c r="G492" i="4"/>
  <c r="G503" i="4"/>
  <c r="G514" i="4"/>
  <c r="G524" i="4"/>
  <c r="G535" i="4"/>
  <c r="G546" i="4"/>
  <c r="G556" i="4"/>
  <c r="G567" i="4"/>
  <c r="G578" i="4"/>
  <c r="G588" i="4"/>
  <c r="G599" i="4"/>
  <c r="G610" i="4"/>
  <c r="G620" i="4"/>
  <c r="G631" i="4"/>
  <c r="G642" i="4"/>
  <c r="G652" i="4"/>
  <c r="G663" i="4"/>
  <c r="G674" i="4"/>
  <c r="G684" i="4"/>
  <c r="G695" i="4"/>
  <c r="G706" i="4"/>
  <c r="G716" i="4"/>
  <c r="G727" i="4"/>
  <c r="G738" i="4"/>
  <c r="G748" i="4"/>
  <c r="G759" i="4"/>
  <c r="G770" i="4"/>
  <c r="G780" i="4"/>
  <c r="G788" i="4"/>
  <c r="G796" i="4"/>
  <c r="G804" i="4"/>
  <c r="G812" i="4"/>
  <c r="G820" i="4"/>
  <c r="G828" i="4"/>
  <c r="G836" i="4"/>
  <c r="G844" i="4"/>
  <c r="G852" i="4"/>
  <c r="G860" i="4"/>
  <c r="G868" i="4"/>
  <c r="G876" i="4"/>
  <c r="G884" i="4"/>
  <c r="G888" i="4"/>
  <c r="G892" i="4"/>
  <c r="G896" i="4"/>
  <c r="G900" i="4"/>
  <c r="G904" i="4"/>
  <c r="G908" i="4"/>
  <c r="G912" i="4"/>
  <c r="G916" i="4"/>
  <c r="G920" i="4"/>
  <c r="G924" i="4"/>
  <c r="G928" i="4"/>
  <c r="G932" i="4"/>
  <c r="G936" i="4"/>
  <c r="G940" i="4"/>
  <c r="G944" i="4"/>
  <c r="G948" i="4"/>
  <c r="G952" i="4"/>
  <c r="G956" i="4"/>
  <c r="G960" i="4"/>
  <c r="G964" i="4"/>
  <c r="G968" i="4"/>
  <c r="G972" i="4"/>
  <c r="G976" i="4"/>
  <c r="G980" i="4"/>
  <c r="G984" i="4"/>
  <c r="G988" i="4"/>
  <c r="G992" i="4"/>
  <c r="G996" i="4"/>
  <c r="G1000" i="4"/>
  <c r="G5" i="4"/>
  <c r="G9" i="4"/>
  <c r="G13" i="4"/>
  <c r="G24" i="4"/>
  <c r="G35" i="4"/>
  <c r="G46" i="4"/>
  <c r="G56" i="4"/>
  <c r="G67" i="4"/>
  <c r="G78" i="4"/>
  <c r="G88" i="4"/>
  <c r="G99" i="4"/>
  <c r="G110" i="4"/>
  <c r="G120" i="4"/>
  <c r="G131" i="4"/>
  <c r="G142" i="4"/>
  <c r="G152" i="4"/>
  <c r="G163" i="4"/>
  <c r="G174" i="4"/>
  <c r="G184" i="4"/>
  <c r="G195" i="4"/>
  <c r="G206" i="4"/>
  <c r="G216" i="4"/>
  <c r="G227" i="4"/>
  <c r="G238" i="4"/>
  <c r="G248" i="4"/>
  <c r="G259" i="4"/>
  <c r="G270" i="4"/>
  <c r="G280" i="4"/>
  <c r="G291" i="4"/>
  <c r="G302" i="4"/>
  <c r="G312" i="4"/>
  <c r="G323" i="4"/>
  <c r="G334" i="4"/>
  <c r="G344" i="4"/>
  <c r="G355" i="4"/>
  <c r="G366" i="4"/>
  <c r="G376" i="4"/>
  <c r="G387" i="4"/>
  <c r="G398" i="4"/>
  <c r="G408" i="4"/>
  <c r="G419" i="4"/>
  <c r="G430" i="4"/>
  <c r="G440" i="4"/>
  <c r="G451" i="4"/>
  <c r="G462" i="4"/>
  <c r="G472" i="4"/>
  <c r="G483" i="4"/>
  <c r="G494" i="4"/>
  <c r="G504" i="4"/>
  <c r="G515" i="4"/>
  <c r="G526" i="4"/>
  <c r="G536" i="4"/>
  <c r="G547" i="4"/>
  <c r="G558" i="4"/>
  <c r="G568" i="4"/>
  <c r="G579" i="4"/>
  <c r="G590" i="4"/>
  <c r="G600" i="4"/>
  <c r="G611" i="4"/>
  <c r="G622" i="4"/>
  <c r="G632" i="4"/>
  <c r="G643" i="4"/>
  <c r="G654" i="4"/>
  <c r="G664" i="4"/>
  <c r="G675" i="4"/>
  <c r="G686" i="4"/>
  <c r="G696" i="4"/>
  <c r="G707" i="4"/>
  <c r="G718" i="4"/>
  <c r="G728" i="4"/>
  <c r="G739" i="4"/>
  <c r="G750" i="4"/>
  <c r="G760" i="4"/>
  <c r="G771" i="4"/>
  <c r="G781" i="4"/>
  <c r="G789" i="4"/>
  <c r="G797" i="4"/>
  <c r="G805" i="4"/>
  <c r="G813" i="4"/>
  <c r="G821" i="4"/>
  <c r="G829" i="4"/>
  <c r="G837" i="4"/>
  <c r="G845" i="4"/>
  <c r="G853" i="4"/>
  <c r="G861" i="4"/>
  <c r="G869" i="4"/>
  <c r="G877" i="4"/>
  <c r="G885" i="4"/>
  <c r="G889" i="4"/>
  <c r="G893" i="4"/>
  <c r="G897" i="4"/>
  <c r="G901" i="4"/>
  <c r="G905" i="4"/>
  <c r="G909" i="4"/>
  <c r="G913" i="4"/>
  <c r="G917" i="4"/>
  <c r="G921" i="4"/>
  <c r="G925" i="4"/>
  <c r="G929" i="4"/>
  <c r="G933" i="4"/>
  <c r="G937" i="4"/>
  <c r="G941" i="4"/>
  <c r="G945" i="4"/>
  <c r="G949" i="4"/>
  <c r="G953" i="4"/>
  <c r="G957" i="4"/>
  <c r="G961" i="4"/>
  <c r="G965" i="4"/>
  <c r="G969" i="4"/>
  <c r="G973" i="4"/>
  <c r="G977" i="4"/>
  <c r="G981" i="4"/>
  <c r="G985" i="4"/>
  <c r="G989" i="4"/>
  <c r="G993" i="4"/>
  <c r="G997" i="4"/>
  <c r="G1001" i="4"/>
  <c r="G6" i="4"/>
  <c r="G10" i="4"/>
  <c r="G14" i="4"/>
  <c r="G18" i="4"/>
  <c r="G28" i="4"/>
  <c r="G39" i="4"/>
  <c r="G50" i="4"/>
  <c r="G60" i="4"/>
  <c r="G71" i="4"/>
  <c r="G82" i="4"/>
  <c r="G92" i="4"/>
  <c r="G103" i="4"/>
  <c r="G114" i="4"/>
  <c r="G124" i="4"/>
  <c r="G135" i="4"/>
  <c r="G146" i="4"/>
  <c r="G156" i="4"/>
  <c r="G167" i="4"/>
  <c r="G178" i="4"/>
  <c r="G188" i="4"/>
  <c r="G199" i="4"/>
  <c r="G210" i="4"/>
  <c r="G220" i="4"/>
  <c r="G231" i="4"/>
  <c r="G242" i="4"/>
  <c r="G252" i="4"/>
  <c r="G263" i="4"/>
  <c r="G274" i="4"/>
  <c r="G284" i="4"/>
  <c r="G295" i="4"/>
  <c r="G306" i="4"/>
  <c r="G316" i="4"/>
  <c r="G327" i="4"/>
  <c r="G338" i="4"/>
  <c r="G348" i="4"/>
  <c r="G359" i="4"/>
  <c r="G370" i="4"/>
  <c r="G380" i="4"/>
  <c r="G391" i="4"/>
  <c r="G402" i="4"/>
  <c r="G412" i="4"/>
  <c r="G423" i="4"/>
  <c r="G434" i="4"/>
  <c r="G444" i="4"/>
  <c r="G455" i="4"/>
  <c r="G466" i="4"/>
  <c r="G476" i="4"/>
  <c r="G487" i="4"/>
  <c r="G498" i="4"/>
  <c r="G508" i="4"/>
  <c r="G519" i="4"/>
  <c r="G530" i="4"/>
  <c r="G540" i="4"/>
  <c r="G551" i="4"/>
  <c r="G562" i="4"/>
  <c r="G572" i="4"/>
  <c r="G583" i="4"/>
  <c r="G594" i="4"/>
  <c r="G604" i="4"/>
  <c r="G615" i="4"/>
  <c r="G626" i="4"/>
  <c r="G636" i="4"/>
  <c r="G647" i="4"/>
  <c r="G658" i="4"/>
  <c r="G668" i="4"/>
  <c r="G679" i="4"/>
  <c r="G690" i="4"/>
  <c r="G700" i="4"/>
  <c r="G711" i="4"/>
  <c r="G722" i="4"/>
  <c r="G732" i="4"/>
  <c r="G743" i="4"/>
  <c r="G754" i="4"/>
  <c r="G764" i="4"/>
  <c r="G775" i="4"/>
  <c r="G784" i="4"/>
  <c r="G792" i="4"/>
  <c r="G800" i="4"/>
  <c r="G808" i="4"/>
  <c r="G816" i="4"/>
  <c r="G824" i="4"/>
  <c r="G832" i="4"/>
  <c r="G840" i="4"/>
  <c r="G848" i="4"/>
  <c r="G856" i="4"/>
  <c r="G864" i="4"/>
  <c r="G872" i="4"/>
  <c r="G880" i="4"/>
  <c r="G886" i="4"/>
  <c r="G890" i="4"/>
  <c r="G894" i="4"/>
  <c r="G898" i="4"/>
  <c r="G902" i="4"/>
  <c r="G906" i="4"/>
  <c r="G910" i="4"/>
  <c r="G914" i="4"/>
  <c r="G918" i="4"/>
  <c r="G922" i="4"/>
  <c r="G926" i="4"/>
  <c r="G930" i="4"/>
  <c r="G934" i="4"/>
  <c r="G938" i="4"/>
  <c r="G942" i="4"/>
  <c r="G946" i="4"/>
  <c r="G950" i="4"/>
  <c r="G954" i="4"/>
  <c r="G958" i="4"/>
  <c r="G962" i="4"/>
  <c r="G966" i="4"/>
  <c r="G970" i="4"/>
  <c r="G974" i="4"/>
  <c r="G978" i="4"/>
  <c r="G982" i="4"/>
  <c r="G986" i="4"/>
  <c r="G990" i="4"/>
  <c r="G994" i="4"/>
  <c r="G998" i="4"/>
  <c r="G3" i="4"/>
  <c r="G7" i="4"/>
  <c r="G11" i="4"/>
  <c r="G19" i="4"/>
  <c r="G30" i="4"/>
  <c r="G40" i="4"/>
  <c r="G51" i="4"/>
  <c r="G62" i="4"/>
  <c r="G72" i="4"/>
  <c r="G83" i="4"/>
  <c r="G94" i="4"/>
  <c r="G104" i="4"/>
  <c r="G115" i="4"/>
  <c r="G126" i="4"/>
  <c r="G136" i="4"/>
  <c r="G147" i="4"/>
  <c r="G158" i="4"/>
  <c r="G168" i="4"/>
  <c r="G179" i="4"/>
  <c r="G190" i="4"/>
  <c r="G200" i="4"/>
  <c r="G211" i="4"/>
  <c r="G222" i="4"/>
  <c r="G232" i="4"/>
  <c r="G243" i="4"/>
  <c r="G254" i="4"/>
  <c r="G264" i="4"/>
  <c r="G275" i="4"/>
  <c r="G286" i="4"/>
  <c r="G296" i="4"/>
  <c r="G307" i="4"/>
  <c r="G318" i="4"/>
  <c r="G328" i="4"/>
  <c r="G339" i="4"/>
  <c r="G350" i="4"/>
  <c r="G360" i="4"/>
  <c r="G371" i="4"/>
  <c r="G382" i="4"/>
  <c r="G392" i="4"/>
  <c r="G403" i="4"/>
  <c r="G414" i="4"/>
  <c r="G424" i="4"/>
  <c r="G435" i="4"/>
  <c r="G446" i="4"/>
  <c r="G456" i="4"/>
  <c r="G467" i="4"/>
  <c r="G478" i="4"/>
  <c r="G488" i="4"/>
  <c r="G499" i="4"/>
  <c r="G510" i="4"/>
  <c r="G520" i="4"/>
  <c r="G531" i="4"/>
  <c r="G542" i="4"/>
  <c r="G552" i="4"/>
  <c r="G563" i="4"/>
  <c r="G574" i="4"/>
  <c r="G584" i="4"/>
  <c r="G595" i="4"/>
  <c r="G606" i="4"/>
  <c r="G616" i="4"/>
  <c r="G627" i="4"/>
  <c r="G638" i="4"/>
  <c r="G648" i="4"/>
  <c r="G659" i="4"/>
  <c r="G670" i="4"/>
  <c r="G680" i="4"/>
  <c r="G691" i="4"/>
  <c r="G702" i="4"/>
  <c r="G712" i="4"/>
  <c r="G723" i="4"/>
  <c r="G734" i="4"/>
  <c r="G744" i="4"/>
  <c r="G755" i="4"/>
  <c r="G766" i="4"/>
  <c r="G776" i="4"/>
  <c r="G785" i="4"/>
  <c r="G793" i="4"/>
  <c r="G801" i="4"/>
  <c r="G809" i="4"/>
  <c r="G817" i="4"/>
  <c r="G825" i="4"/>
  <c r="G833" i="4"/>
  <c r="G841" i="4"/>
  <c r="G849" i="4"/>
  <c r="G857" i="4"/>
  <c r="G865" i="4"/>
  <c r="G873" i="4"/>
  <c r="G881" i="4"/>
  <c r="G887" i="4"/>
  <c r="G891" i="4"/>
  <c r="G895" i="4"/>
  <c r="G899" i="4"/>
  <c r="G903" i="4"/>
  <c r="G907" i="4"/>
  <c r="G911" i="4"/>
  <c r="G915" i="4"/>
  <c r="G919" i="4"/>
  <c r="G923" i="4"/>
  <c r="G927" i="4"/>
  <c r="G931" i="4"/>
  <c r="G935" i="4"/>
  <c r="G939" i="4"/>
  <c r="G943" i="4"/>
  <c r="G947" i="4"/>
  <c r="G951" i="4"/>
  <c r="G955" i="4"/>
  <c r="G959" i="4"/>
  <c r="G963" i="4"/>
  <c r="G967" i="4"/>
  <c r="G971" i="4"/>
  <c r="G975" i="4"/>
  <c r="G979" i="4"/>
  <c r="G983" i="4"/>
  <c r="G987" i="4"/>
  <c r="G991" i="4"/>
  <c r="G995" i="4"/>
  <c r="G999" i="4"/>
  <c r="G4" i="4"/>
  <c r="G8" i="4"/>
  <c r="G12" i="4"/>
  <c r="F8" i="4"/>
  <c r="F4" i="4"/>
  <c r="F999" i="4"/>
  <c r="F995" i="4"/>
  <c r="F991" i="4"/>
  <c r="F987" i="4"/>
  <c r="F983" i="4"/>
  <c r="F979" i="4"/>
  <c r="F975" i="4"/>
  <c r="F971" i="4"/>
  <c r="F967" i="4"/>
  <c r="F963" i="4"/>
  <c r="F959" i="4"/>
  <c r="F955" i="4"/>
  <c r="F951" i="4"/>
  <c r="F947" i="4"/>
  <c r="F943" i="4"/>
  <c r="F939" i="4"/>
  <c r="F935" i="4"/>
  <c r="F931" i="4"/>
  <c r="F927" i="4"/>
  <c r="F923" i="4"/>
  <c r="F919" i="4"/>
  <c r="F915" i="4"/>
  <c r="F911" i="4"/>
  <c r="F907" i="4"/>
  <c r="F903" i="4"/>
  <c r="F899" i="4"/>
  <c r="F895" i="4"/>
  <c r="F891" i="4"/>
  <c r="F887" i="4"/>
  <c r="F883" i="4"/>
  <c r="F879" i="4"/>
  <c r="F875" i="4"/>
  <c r="F871" i="4"/>
  <c r="F867" i="4"/>
  <c r="F863" i="4"/>
  <c r="F859" i="4"/>
  <c r="F855" i="4"/>
  <c r="F851" i="4"/>
  <c r="F847" i="4"/>
  <c r="F843" i="4"/>
  <c r="F839" i="4"/>
  <c r="F835" i="4"/>
  <c r="F831" i="4"/>
  <c r="F827" i="4"/>
  <c r="F823" i="4"/>
  <c r="F819" i="4"/>
  <c r="F815" i="4"/>
  <c r="F811" i="4"/>
  <c r="F807" i="4"/>
  <c r="F803" i="4"/>
  <c r="F799" i="4"/>
  <c r="F795" i="4"/>
  <c r="F791" i="4"/>
  <c r="F787" i="4"/>
  <c r="F783" i="4"/>
  <c r="F779" i="4"/>
  <c r="F775" i="4"/>
  <c r="F771" i="4"/>
  <c r="F767" i="4"/>
  <c r="F763" i="4"/>
  <c r="F759" i="4"/>
  <c r="F755" i="4"/>
  <c r="F751" i="4"/>
  <c r="F747" i="4"/>
  <c r="F743" i="4"/>
  <c r="F739" i="4"/>
  <c r="F735" i="4"/>
  <c r="F731" i="4"/>
  <c r="F727" i="4"/>
  <c r="F723" i="4"/>
  <c r="F719" i="4"/>
  <c r="F715" i="4"/>
  <c r="F711" i="4"/>
  <c r="F707" i="4"/>
  <c r="F703" i="4"/>
  <c r="F699" i="4"/>
  <c r="F695" i="4"/>
  <c r="F691" i="4"/>
  <c r="F687" i="4"/>
  <c r="F683" i="4"/>
  <c r="F679" i="4"/>
  <c r="F675" i="4"/>
  <c r="F671" i="4"/>
  <c r="F667" i="4"/>
  <c r="F663" i="4"/>
  <c r="F659" i="4"/>
  <c r="F655" i="4"/>
  <c r="F651" i="4"/>
  <c r="F647" i="4"/>
  <c r="F643" i="4"/>
  <c r="F639" i="4"/>
  <c r="F635" i="4"/>
  <c r="F631" i="4"/>
  <c r="F627" i="4"/>
  <c r="F623" i="4"/>
  <c r="F619" i="4"/>
  <c r="F615" i="4"/>
  <c r="F611" i="4"/>
  <c r="F607" i="4"/>
  <c r="F603" i="4"/>
  <c r="F599" i="4"/>
  <c r="F595" i="4"/>
  <c r="F591" i="4"/>
  <c r="F587" i="4"/>
  <c r="F583" i="4"/>
  <c r="F579" i="4"/>
  <c r="F575" i="4"/>
  <c r="F571" i="4"/>
  <c r="F567" i="4"/>
  <c r="F563" i="4"/>
  <c r="F559" i="4"/>
  <c r="F555" i="4"/>
  <c r="F551" i="4"/>
  <c r="F547" i="4"/>
  <c r="F543" i="4"/>
  <c r="F539" i="4"/>
  <c r="F535" i="4"/>
  <c r="F531" i="4"/>
  <c r="F527" i="4"/>
  <c r="F523" i="4"/>
  <c r="F519" i="4"/>
  <c r="F515" i="4"/>
  <c r="F511" i="4"/>
  <c r="F507" i="4"/>
  <c r="F503" i="4"/>
  <c r="F499" i="4"/>
  <c r="F495" i="4"/>
  <c r="F491" i="4"/>
  <c r="F487" i="4"/>
  <c r="F483" i="4"/>
  <c r="F479" i="4"/>
  <c r="F475" i="4"/>
  <c r="F471" i="4"/>
  <c r="F467" i="4"/>
  <c r="F463" i="4"/>
  <c r="F459" i="4"/>
  <c r="F455" i="4"/>
  <c r="F451" i="4"/>
  <c r="F447" i="4"/>
  <c r="F443" i="4"/>
  <c r="F439" i="4"/>
  <c r="F435" i="4"/>
  <c r="F431" i="4"/>
  <c r="F427" i="4"/>
  <c r="F423" i="4"/>
  <c r="F419" i="4"/>
  <c r="F415" i="4"/>
  <c r="F411" i="4"/>
  <c r="F407" i="4"/>
  <c r="F403" i="4"/>
  <c r="F399" i="4"/>
  <c r="F395" i="4"/>
  <c r="F391" i="4"/>
  <c r="F387" i="4"/>
  <c r="F383" i="4"/>
  <c r="F379" i="4"/>
  <c r="F375" i="4"/>
  <c r="F371" i="4"/>
  <c r="F367" i="4"/>
  <c r="F363" i="4"/>
  <c r="F359" i="4"/>
  <c r="F355" i="4"/>
  <c r="F351" i="4"/>
  <c r="F347" i="4"/>
  <c r="F343" i="4"/>
  <c r="F339" i="4"/>
  <c r="F335" i="4"/>
  <c r="F331" i="4"/>
  <c r="F327" i="4"/>
  <c r="F323" i="4"/>
  <c r="F319" i="4"/>
  <c r="F315" i="4"/>
  <c r="F311" i="4"/>
  <c r="F307" i="4"/>
  <c r="F303" i="4"/>
  <c r="F299" i="4"/>
  <c r="F295" i="4"/>
  <c r="F291" i="4"/>
  <c r="F287" i="4"/>
  <c r="F283" i="4"/>
  <c r="F279" i="4"/>
  <c r="F275" i="4"/>
  <c r="F271" i="4"/>
  <c r="F267" i="4"/>
  <c r="F263" i="4"/>
  <c r="F259" i="4"/>
  <c r="F255" i="4"/>
  <c r="F251" i="4"/>
  <c r="F247" i="4"/>
  <c r="F243" i="4"/>
  <c r="F239" i="4"/>
  <c r="F235" i="4"/>
  <c r="F231" i="4"/>
  <c r="F227" i="4"/>
  <c r="F223" i="4"/>
  <c r="F216" i="4"/>
  <c r="F208" i="4"/>
  <c r="F196" i="4"/>
  <c r="F7" i="4"/>
  <c r="F3" i="4"/>
  <c r="F998" i="4"/>
  <c r="F994" i="4"/>
  <c r="F990" i="4"/>
  <c r="F986" i="4"/>
  <c r="F982" i="4"/>
  <c r="F978" i="4"/>
  <c r="F974" i="4"/>
  <c r="F970" i="4"/>
  <c r="F966" i="4"/>
  <c r="F962" i="4"/>
  <c r="F958" i="4"/>
  <c r="F954" i="4"/>
  <c r="F950" i="4"/>
  <c r="F946" i="4"/>
  <c r="F942" i="4"/>
  <c r="F938" i="4"/>
  <c r="F934" i="4"/>
  <c r="F930" i="4"/>
  <c r="F926" i="4"/>
  <c r="F922" i="4"/>
  <c r="F918" i="4"/>
  <c r="F914" i="4"/>
  <c r="F910" i="4"/>
  <c r="F906" i="4"/>
  <c r="F902" i="4"/>
  <c r="F898" i="4"/>
  <c r="F894" i="4"/>
  <c r="F890" i="4"/>
  <c r="F886" i="4"/>
  <c r="F882" i="4"/>
  <c r="F878" i="4"/>
  <c r="F874" i="4"/>
  <c r="F870" i="4"/>
  <c r="F866" i="4"/>
  <c r="F862" i="4"/>
  <c r="F858" i="4"/>
  <c r="F854" i="4"/>
  <c r="F850" i="4"/>
  <c r="F846" i="4"/>
  <c r="F842" i="4"/>
  <c r="F838" i="4"/>
  <c r="F834" i="4"/>
  <c r="F830" i="4"/>
  <c r="F826" i="4"/>
  <c r="F822" i="4"/>
  <c r="F818" i="4"/>
  <c r="F814" i="4"/>
  <c r="F810" i="4"/>
  <c r="F806" i="4"/>
  <c r="F802" i="4"/>
  <c r="F798" i="4"/>
  <c r="F794" i="4"/>
  <c r="F790" i="4"/>
  <c r="F786" i="4"/>
  <c r="F782" i="4"/>
  <c r="F778" i="4"/>
  <c r="F774" i="4"/>
  <c r="F770" i="4"/>
  <c r="F766" i="4"/>
  <c r="F762" i="4"/>
  <c r="F758" i="4"/>
  <c r="F754" i="4"/>
  <c r="F750" i="4"/>
  <c r="F746" i="4"/>
  <c r="F742" i="4"/>
  <c r="F738" i="4"/>
  <c r="F734" i="4"/>
  <c r="F730" i="4"/>
  <c r="F726" i="4"/>
  <c r="F722" i="4"/>
  <c r="F718" i="4"/>
  <c r="F714" i="4"/>
  <c r="F710" i="4"/>
  <c r="F706" i="4"/>
  <c r="F702" i="4"/>
  <c r="F698" i="4"/>
  <c r="F694" i="4"/>
  <c r="F690" i="4"/>
  <c r="F686" i="4"/>
  <c r="F682" i="4"/>
  <c r="F678" i="4"/>
  <c r="F674" i="4"/>
  <c r="F670" i="4"/>
  <c r="F666" i="4"/>
  <c r="F662" i="4"/>
  <c r="F658" i="4"/>
  <c r="F654" i="4"/>
  <c r="F650" i="4"/>
  <c r="F646" i="4"/>
  <c r="F642" i="4"/>
  <c r="F638" i="4"/>
  <c r="F634" i="4"/>
  <c r="F630" i="4"/>
  <c r="F626" i="4"/>
  <c r="F622" i="4"/>
  <c r="F618" i="4"/>
  <c r="F614" i="4"/>
  <c r="F610" i="4"/>
  <c r="F606" i="4"/>
  <c r="F602" i="4"/>
  <c r="F598" i="4"/>
  <c r="F594" i="4"/>
  <c r="F590" i="4"/>
  <c r="F586" i="4"/>
  <c r="F582" i="4"/>
  <c r="F578" i="4"/>
  <c r="F574" i="4"/>
  <c r="F570" i="4"/>
  <c r="F566" i="4"/>
  <c r="F562" i="4"/>
  <c r="F558" i="4"/>
  <c r="F554" i="4"/>
  <c r="F550" i="4"/>
  <c r="F546" i="4"/>
  <c r="F542" i="4"/>
  <c r="F538" i="4"/>
  <c r="F534" i="4"/>
  <c r="F530" i="4"/>
  <c r="F526" i="4"/>
  <c r="F522" i="4"/>
  <c r="F518" i="4"/>
  <c r="F514" i="4"/>
  <c r="F510" i="4"/>
  <c r="F506" i="4"/>
  <c r="F502" i="4"/>
  <c r="F498" i="4"/>
  <c r="F494" i="4"/>
  <c r="F490" i="4"/>
  <c r="F486" i="4"/>
  <c r="F482" i="4"/>
  <c r="F478" i="4"/>
  <c r="F474" i="4"/>
  <c r="F470" i="4"/>
  <c r="F466" i="4"/>
  <c r="F462" i="4"/>
  <c r="F458" i="4"/>
  <c r="F454" i="4"/>
  <c r="F450" i="4"/>
  <c r="F446" i="4"/>
  <c r="F442" i="4"/>
  <c r="F438" i="4"/>
  <c r="F434" i="4"/>
  <c r="F430" i="4"/>
  <c r="F426" i="4"/>
  <c r="F422" i="4"/>
  <c r="F418" i="4"/>
  <c r="F414" i="4"/>
  <c r="F410" i="4"/>
  <c r="F406" i="4"/>
  <c r="F402" i="4"/>
  <c r="F398" i="4"/>
  <c r="F394" i="4"/>
  <c r="F390" i="4"/>
  <c r="F386" i="4"/>
  <c r="F382" i="4"/>
  <c r="F378" i="4"/>
  <c r="F374" i="4"/>
  <c r="F370" i="4"/>
  <c r="F366" i="4"/>
  <c r="F362" i="4"/>
  <c r="F358" i="4"/>
  <c r="F354" i="4"/>
  <c r="F350" i="4"/>
  <c r="F346" i="4"/>
  <c r="F342" i="4"/>
  <c r="F338" i="4"/>
  <c r="F334" i="4"/>
  <c r="F330" i="4"/>
  <c r="F326" i="4"/>
  <c r="F322" i="4"/>
  <c r="F318" i="4"/>
  <c r="F314" i="4"/>
  <c r="F310" i="4"/>
  <c r="F306" i="4"/>
  <c r="F302" i="4"/>
  <c r="F298" i="4"/>
  <c r="F294" i="4"/>
  <c r="F290" i="4"/>
  <c r="F286" i="4"/>
  <c r="F282" i="4"/>
  <c r="F278" i="4"/>
  <c r="F274" i="4"/>
  <c r="F270" i="4"/>
  <c r="F266" i="4"/>
  <c r="F262" i="4"/>
  <c r="F258" i="4"/>
  <c r="F254" i="4"/>
  <c r="F250" i="4"/>
  <c r="F246" i="4"/>
  <c r="F242" i="4"/>
  <c r="F238" i="4"/>
  <c r="F234" i="4"/>
  <c r="F230" i="4"/>
  <c r="F226" i="4"/>
  <c r="F221" i="4"/>
  <c r="F215" i="4"/>
  <c r="A2" i="4"/>
  <c r="F11" i="4"/>
  <c r="F15" i="4"/>
  <c r="F19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111" i="4"/>
  <c r="F115" i="4"/>
  <c r="F119" i="4"/>
  <c r="F123" i="4"/>
  <c r="F127" i="4"/>
  <c r="F131" i="4"/>
  <c r="F135" i="4"/>
  <c r="F139" i="4"/>
  <c r="F143" i="4"/>
  <c r="F147" i="4"/>
  <c r="F151" i="4"/>
  <c r="F155" i="4"/>
  <c r="F159" i="4"/>
  <c r="F163" i="4"/>
  <c r="F167" i="4"/>
  <c r="F171" i="4"/>
  <c r="F175" i="4"/>
  <c r="F179" i="4"/>
  <c r="F183" i="4"/>
  <c r="F187" i="4"/>
  <c r="F191" i="4"/>
  <c r="F195" i="4"/>
  <c r="F199" i="4"/>
  <c r="F203" i="4"/>
  <c r="F12" i="4"/>
  <c r="F16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112" i="4"/>
  <c r="F116" i="4"/>
  <c r="F120" i="4"/>
  <c r="F124" i="4"/>
  <c r="F128" i="4"/>
  <c r="F132" i="4"/>
  <c r="F136" i="4"/>
  <c r="F140" i="4"/>
  <c r="F144" i="4"/>
  <c r="F148" i="4"/>
  <c r="F152" i="4"/>
  <c r="F156" i="4"/>
  <c r="F160" i="4"/>
  <c r="F164" i="4"/>
  <c r="F168" i="4"/>
  <c r="F172" i="4"/>
  <c r="F176" i="4"/>
  <c r="F180" i="4"/>
  <c r="F184" i="4"/>
  <c r="F188" i="4"/>
  <c r="F192" i="4"/>
  <c r="F13" i="4"/>
  <c r="F17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F149" i="4"/>
  <c r="F153" i="4"/>
  <c r="F157" i="4"/>
  <c r="F161" i="4"/>
  <c r="F165" i="4"/>
  <c r="F169" i="4"/>
  <c r="F173" i="4"/>
  <c r="F177" i="4"/>
  <c r="F181" i="4"/>
  <c r="F185" i="4"/>
  <c r="F189" i="4"/>
  <c r="F193" i="4"/>
  <c r="F197" i="4"/>
  <c r="F201" i="4"/>
  <c r="F205" i="4"/>
  <c r="F209" i="4"/>
  <c r="F213" i="4"/>
  <c r="F217" i="4"/>
  <c r="F10" i="4"/>
  <c r="F14" i="4"/>
  <c r="F18" i="4"/>
  <c r="F22" i="4"/>
  <c r="F26" i="4"/>
  <c r="F30" i="4"/>
  <c r="F34" i="4"/>
  <c r="F38" i="4"/>
  <c r="F42" i="4"/>
  <c r="F46" i="4"/>
  <c r="F50" i="4"/>
  <c r="F54" i="4"/>
  <c r="F58" i="4"/>
  <c r="F62" i="4"/>
  <c r="F66" i="4"/>
  <c r="F70" i="4"/>
  <c r="F74" i="4"/>
  <c r="F78" i="4"/>
  <c r="F82" i="4"/>
  <c r="F86" i="4"/>
  <c r="F90" i="4"/>
  <c r="F94" i="4"/>
  <c r="F98" i="4"/>
  <c r="F102" i="4"/>
  <c r="F106" i="4"/>
  <c r="F110" i="4"/>
  <c r="F114" i="4"/>
  <c r="F118" i="4"/>
  <c r="F122" i="4"/>
  <c r="F126" i="4"/>
  <c r="F130" i="4"/>
  <c r="F134" i="4"/>
  <c r="F138" i="4"/>
  <c r="F142" i="4"/>
  <c r="F146" i="4"/>
  <c r="F150" i="4"/>
  <c r="F154" i="4"/>
  <c r="F158" i="4"/>
  <c r="F162" i="4"/>
  <c r="F166" i="4"/>
  <c r="F170" i="4"/>
  <c r="F174" i="4"/>
  <c r="F178" i="4"/>
  <c r="F182" i="4"/>
  <c r="F186" i="4"/>
  <c r="F190" i="4"/>
  <c r="F194" i="4"/>
  <c r="F198" i="4"/>
  <c r="F202" i="4"/>
  <c r="F206" i="4"/>
  <c r="F210" i="4"/>
  <c r="F214" i="4"/>
  <c r="F218" i="4"/>
  <c r="F222" i="4"/>
  <c r="F6" i="4"/>
  <c r="F1001" i="4"/>
  <c r="F997" i="4"/>
  <c r="F993" i="4"/>
  <c r="F989" i="4"/>
  <c r="F985" i="4"/>
  <c r="F981" i="4"/>
  <c r="F977" i="4"/>
  <c r="F973" i="4"/>
  <c r="F969" i="4"/>
  <c r="F965" i="4"/>
  <c r="F961" i="4"/>
  <c r="F957" i="4"/>
  <c r="F953" i="4"/>
  <c r="F949" i="4"/>
  <c r="F945" i="4"/>
  <c r="F941" i="4"/>
  <c r="F937" i="4"/>
  <c r="F933" i="4"/>
  <c r="F929" i="4"/>
  <c r="F925" i="4"/>
  <c r="F921" i="4"/>
  <c r="F917" i="4"/>
  <c r="F913" i="4"/>
  <c r="F909" i="4"/>
  <c r="F905" i="4"/>
  <c r="F901" i="4"/>
  <c r="F897" i="4"/>
  <c r="F893" i="4"/>
  <c r="F889" i="4"/>
  <c r="F885" i="4"/>
  <c r="F881" i="4"/>
  <c r="F877" i="4"/>
  <c r="F873" i="4"/>
  <c r="F869" i="4"/>
  <c r="F865" i="4"/>
  <c r="F861" i="4"/>
  <c r="F857" i="4"/>
  <c r="F853" i="4"/>
  <c r="F849" i="4"/>
  <c r="F845" i="4"/>
  <c r="F841" i="4"/>
  <c r="F837" i="4"/>
  <c r="F833" i="4"/>
  <c r="F829" i="4"/>
  <c r="F825" i="4"/>
  <c r="F821" i="4"/>
  <c r="F817" i="4"/>
  <c r="F813" i="4"/>
  <c r="F809" i="4"/>
  <c r="F805" i="4"/>
  <c r="F801" i="4"/>
  <c r="F797" i="4"/>
  <c r="F793" i="4"/>
  <c r="F789" i="4"/>
  <c r="F785" i="4"/>
  <c r="F781" i="4"/>
  <c r="F777" i="4"/>
  <c r="F773" i="4"/>
  <c r="F769" i="4"/>
  <c r="F765" i="4"/>
  <c r="F761" i="4"/>
  <c r="F757" i="4"/>
  <c r="F753" i="4"/>
  <c r="F749" i="4"/>
  <c r="F745" i="4"/>
  <c r="F741" i="4"/>
  <c r="F737" i="4"/>
  <c r="F733" i="4"/>
  <c r="F729" i="4"/>
  <c r="F725" i="4"/>
  <c r="F721" i="4"/>
  <c r="F717" i="4"/>
  <c r="F713" i="4"/>
  <c r="F709" i="4"/>
  <c r="F705" i="4"/>
  <c r="F701" i="4"/>
  <c r="F697" i="4"/>
  <c r="F693" i="4"/>
  <c r="F689" i="4"/>
  <c r="F685" i="4"/>
  <c r="F681" i="4"/>
  <c r="F677" i="4"/>
  <c r="F673" i="4"/>
  <c r="F669" i="4"/>
  <c r="F665" i="4"/>
  <c r="F661" i="4"/>
  <c r="F657" i="4"/>
  <c r="F653" i="4"/>
  <c r="F649" i="4"/>
  <c r="F645" i="4"/>
  <c r="F641" i="4"/>
  <c r="F637" i="4"/>
  <c r="F633" i="4"/>
  <c r="F629" i="4"/>
  <c r="F625" i="4"/>
  <c r="F621" i="4"/>
  <c r="F617" i="4"/>
  <c r="F613" i="4"/>
  <c r="F609" i="4"/>
  <c r="F605" i="4"/>
  <c r="F601" i="4"/>
  <c r="F597" i="4"/>
  <c r="F593" i="4"/>
  <c r="F589" i="4"/>
  <c r="F585" i="4"/>
  <c r="F581" i="4"/>
  <c r="F577" i="4"/>
  <c r="F573" i="4"/>
  <c r="F569" i="4"/>
  <c r="F565" i="4"/>
  <c r="F561" i="4"/>
  <c r="F557" i="4"/>
  <c r="F553" i="4"/>
  <c r="F549" i="4"/>
  <c r="F545" i="4"/>
  <c r="F541" i="4"/>
  <c r="F537" i="4"/>
  <c r="F533" i="4"/>
  <c r="F529" i="4"/>
  <c r="F525" i="4"/>
  <c r="F521" i="4"/>
  <c r="F517" i="4"/>
  <c r="F513" i="4"/>
  <c r="F509" i="4"/>
  <c r="F505" i="4"/>
  <c r="F501" i="4"/>
  <c r="F497" i="4"/>
  <c r="F493" i="4"/>
  <c r="F489" i="4"/>
  <c r="F485" i="4"/>
  <c r="F481" i="4"/>
  <c r="F477" i="4"/>
  <c r="F473" i="4"/>
  <c r="F469" i="4"/>
  <c r="F465" i="4"/>
  <c r="F461" i="4"/>
  <c r="F457" i="4"/>
  <c r="F453" i="4"/>
  <c r="F449" i="4"/>
  <c r="F445" i="4"/>
  <c r="F441" i="4"/>
  <c r="F437" i="4"/>
  <c r="F433" i="4"/>
  <c r="F429" i="4"/>
  <c r="F425" i="4"/>
  <c r="F421" i="4"/>
  <c r="F417" i="4"/>
  <c r="F413" i="4"/>
  <c r="F409" i="4"/>
  <c r="F405" i="4"/>
  <c r="F401" i="4"/>
  <c r="F397" i="4"/>
  <c r="F393" i="4"/>
  <c r="F389" i="4"/>
  <c r="F385" i="4"/>
  <c r="F381" i="4"/>
  <c r="F377" i="4"/>
  <c r="F373" i="4"/>
  <c r="F369" i="4"/>
  <c r="F365" i="4"/>
  <c r="F361" i="4"/>
  <c r="F357" i="4"/>
  <c r="F353" i="4"/>
  <c r="F349" i="4"/>
  <c r="F345" i="4"/>
  <c r="F341" i="4"/>
  <c r="F337" i="4"/>
  <c r="F333" i="4"/>
  <c r="F329" i="4"/>
  <c r="F325" i="4"/>
  <c r="F321" i="4"/>
  <c r="F317" i="4"/>
  <c r="F313" i="4"/>
  <c r="F309" i="4"/>
  <c r="F305" i="4"/>
  <c r="F301" i="4"/>
  <c r="F297" i="4"/>
  <c r="F293" i="4"/>
  <c r="F289" i="4"/>
  <c r="F285" i="4"/>
  <c r="F281" i="4"/>
  <c r="F277" i="4"/>
  <c r="F273" i="4"/>
  <c r="F269" i="4"/>
  <c r="F265" i="4"/>
  <c r="F261" i="4"/>
  <c r="F257" i="4"/>
  <c r="F253" i="4"/>
  <c r="F249" i="4"/>
  <c r="F245" i="4"/>
  <c r="F241" i="4"/>
  <c r="F237" i="4"/>
  <c r="F233" i="4"/>
  <c r="F229" i="4"/>
  <c r="F225" i="4"/>
  <c r="F220" i="4"/>
  <c r="F212" i="4"/>
  <c r="F204" i="4"/>
  <c r="J2" i="4"/>
  <c r="K3" i="4" a="1"/>
  <c r="K3" i="4" s="1"/>
  <c r="K5" i="4" a="1"/>
  <c r="K5" i="4" s="1"/>
  <c r="K9" i="4" a="1"/>
  <c r="K9" i="4" s="1"/>
  <c r="K4" i="4" a="1"/>
  <c r="K4" i="4" s="1"/>
  <c r="K6" i="4" a="1"/>
  <c r="K6" i="4" s="1"/>
  <c r="K10" i="4" a="1"/>
  <c r="K10" i="4" s="1"/>
  <c r="K7" i="4" a="1"/>
  <c r="K7" i="4" s="1"/>
  <c r="K11" i="4" a="1"/>
  <c r="K11" i="4" s="1"/>
  <c r="K8" i="4" a="1"/>
  <c r="K8" i="4" s="1"/>
  <c r="K12" i="4" a="1"/>
  <c r="K12" i="4" s="1"/>
  <c r="L2" i="4" l="1" a="1"/>
  <c r="L2" i="4" s="1"/>
  <c r="K13" i="4" a="1"/>
  <c r="K13" i="4" s="1"/>
  <c r="G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<sst xmlns="http://schemas.openxmlformats.org/spreadsheetml/2006/main" count="6028" uniqueCount="2404">
  <si>
    <t>Order ID</t>
  </si>
  <si>
    <t>Customer Segment</t>
  </si>
  <si>
    <t>Unit Price</t>
  </si>
  <si>
    <t>Quantity</t>
  </si>
  <si>
    <t>Discount</t>
  </si>
  <si>
    <t>Shipping Cost</t>
  </si>
  <si>
    <t>Order Date</t>
  </si>
  <si>
    <t>Delivery Date</t>
  </si>
  <si>
    <t>Product Name</t>
  </si>
  <si>
    <t>ORD-20240001</t>
  </si>
  <si>
    <t>Corporate</t>
  </si>
  <si>
    <t>Brazil</t>
  </si>
  <si>
    <t>2024-11-17</t>
  </si>
  <si>
    <t>2024-11-21</t>
  </si>
  <si>
    <t>Smart Watch, Monitor, Speaker, Keyboard</t>
  </si>
  <si>
    <t>ORD-20240002</t>
  </si>
  <si>
    <t>Consumer</t>
  </si>
  <si>
    <t>India</t>
  </si>
  <si>
    <t>2024-09-01</t>
  </si>
  <si>
    <t>2024-09-10</t>
  </si>
  <si>
    <t>Speaker, Webcam, External Hard Drive</t>
  </si>
  <si>
    <t>ORD-20240003</t>
  </si>
  <si>
    <t>Australia</t>
  </si>
  <si>
    <t>2024-10-05</t>
  </si>
  <si>
    <t>2024-10-16</t>
  </si>
  <si>
    <t>Printer, Mouse, Desk Lamp, Tablet, Projector</t>
  </si>
  <si>
    <t>ORD-20240004</t>
  </si>
  <si>
    <t>Canada</t>
  </si>
  <si>
    <t>2024-01-07</t>
  </si>
  <si>
    <t>2024-01-21</t>
  </si>
  <si>
    <t>Webcam, Printer, Keyboard, Projector, Laptop</t>
  </si>
  <si>
    <t>ORD-20240005</t>
  </si>
  <si>
    <t>Germany</t>
  </si>
  <si>
    <t>2024-04-14</t>
  </si>
  <si>
    <t>2024-04-19</t>
  </si>
  <si>
    <t>Laptop, Smartphone, Webcam, Monitor</t>
  </si>
  <si>
    <t>ORD-20240006</t>
  </si>
  <si>
    <t>Nigeria</t>
  </si>
  <si>
    <t>2024-06-05</t>
  </si>
  <si>
    <t>2024-06-13</t>
  </si>
  <si>
    <t>Router, Printer, Keyboard, External Hard Drive, Monitor</t>
  </si>
  <si>
    <t>ORD-20240007</t>
  </si>
  <si>
    <t>Home Office</t>
  </si>
  <si>
    <t>2024-02-27</t>
  </si>
  <si>
    <t>2024-03-02</t>
  </si>
  <si>
    <t>Projector, Desk Chair, Mouse, Speaker</t>
  </si>
  <si>
    <t>ORD-20240008</t>
  </si>
  <si>
    <t>France</t>
  </si>
  <si>
    <t>2024-08-21</t>
  </si>
  <si>
    <t>2024-08-23</t>
  </si>
  <si>
    <t>Monitor, External Hard Drive, Laptop, Headphones, Projector</t>
  </si>
  <si>
    <t>ORD-20240009</t>
  </si>
  <si>
    <t>2024-03-18</t>
  </si>
  <si>
    <t>2024-03-23</t>
  </si>
  <si>
    <t>Smart Watch, Router, Speaker, Mouse</t>
  </si>
  <si>
    <t>ORD-20240010</t>
  </si>
  <si>
    <t>UK</t>
  </si>
  <si>
    <t>2024-07-25</t>
  </si>
  <si>
    <t>2024-08-07</t>
  </si>
  <si>
    <t>Tablet, Desk Chair, Webcam, Monitor, Projector</t>
  </si>
  <si>
    <t>ORD-20240011</t>
  </si>
  <si>
    <t>USA</t>
  </si>
  <si>
    <t>2024-01-27</t>
  </si>
  <si>
    <t>2024-02-03</t>
  </si>
  <si>
    <t>Projector, Mouse, Router</t>
  </si>
  <si>
    <t>ORD-20240012</t>
  </si>
  <si>
    <t>2024-04-08</t>
  </si>
  <si>
    <t>2024-04-17</t>
  </si>
  <si>
    <t>Mouse, Smartphone, Laptop, External Hard Drive, Smart Watch</t>
  </si>
  <si>
    <t>ORD-20240013</t>
  </si>
  <si>
    <t>2024-11-05</t>
  </si>
  <si>
    <t>2024-11-13</t>
  </si>
  <si>
    <t>Smartphone, Laptop, Keyboard, Monitor</t>
  </si>
  <si>
    <t>ORD-20240014</t>
  </si>
  <si>
    <t>2024-09-17</t>
  </si>
  <si>
    <t>2024-09-28</t>
  </si>
  <si>
    <t>Laptop, Monitor, Headphones</t>
  </si>
  <si>
    <t>ORD-20240015</t>
  </si>
  <si>
    <t>2024-06-16</t>
  </si>
  <si>
    <t>2024-06-30</t>
  </si>
  <si>
    <t>Keyboard, Printer, Mouse, Laptop</t>
  </si>
  <si>
    <t>ORD-20240016</t>
  </si>
  <si>
    <t>2024-04-11</t>
  </si>
  <si>
    <t>Monitor, Projector, Keyboard</t>
  </si>
  <si>
    <t>ORD-20240017</t>
  </si>
  <si>
    <t>2024-10-15</t>
  </si>
  <si>
    <t>2024-10-19</t>
  </si>
  <si>
    <t>Desk Lamp, Projector, Smartphone, Desk Chair</t>
  </si>
  <si>
    <t>ORD-20240018</t>
  </si>
  <si>
    <t>Japan</t>
  </si>
  <si>
    <t>2024-07-28</t>
  </si>
  <si>
    <t>2024-08-01</t>
  </si>
  <si>
    <t>Smartphone, Projector, Mouse, Router, Smart Watch</t>
  </si>
  <si>
    <t>ORD-20240019</t>
  </si>
  <si>
    <t>2024-02-14</t>
  </si>
  <si>
    <t>2024-02-24</t>
  </si>
  <si>
    <t>Printer, Projector, Desk Chair, Webcam</t>
  </si>
  <si>
    <t>ORD-20240020</t>
  </si>
  <si>
    <t>2024-12-01</t>
  </si>
  <si>
    <t>Laptop, Tablet, Printer</t>
  </si>
  <si>
    <t>ORD-20240021</t>
  </si>
  <si>
    <t>2024-07-15</t>
  </si>
  <si>
    <t>2024-07-19</t>
  </si>
  <si>
    <t>Webcam, Desk Chair, Headphones</t>
  </si>
  <si>
    <t>ORD-20240022</t>
  </si>
  <si>
    <t>2024-12-07</t>
  </si>
  <si>
    <t>2024-12-21</t>
  </si>
  <si>
    <t>Mouse, Projector, Smart Watch, Keyboard, Desk Lamp</t>
  </si>
  <si>
    <t>ORD-20240023</t>
  </si>
  <si>
    <t>2024-12-30</t>
  </si>
  <si>
    <t>2025-01-06</t>
  </si>
  <si>
    <t>Webcam, Keyboard, Laptop</t>
  </si>
  <si>
    <t>ORD-20240024</t>
  </si>
  <si>
    <t>2024-06-27</t>
  </si>
  <si>
    <t>2024-07-10</t>
  </si>
  <si>
    <t>Router, Headphones, Speaker, Tablet, Smartphone</t>
  </si>
  <si>
    <t>ORD-20240025</t>
  </si>
  <si>
    <t>2024-07-30</t>
  </si>
  <si>
    <t>2024-08-10</t>
  </si>
  <si>
    <t>Printer, Laptop, Tablet</t>
  </si>
  <si>
    <t>ORD-20240026</t>
  </si>
  <si>
    <t>2024-07-09</t>
  </si>
  <si>
    <t>Desk Chair, Keyboard, Smart Watch, Webcam, External Hard Drive</t>
  </si>
  <si>
    <t>ORD-20240027</t>
  </si>
  <si>
    <t>2024-01-28</t>
  </si>
  <si>
    <t>2024-02-06</t>
  </si>
  <si>
    <t>External Hard Drive, Desk Chair, Webcam, Monitor, Speaker</t>
  </si>
  <si>
    <t>ORD-20240028</t>
  </si>
  <si>
    <t>2024-10-10</t>
  </si>
  <si>
    <t>2024-10-21</t>
  </si>
  <si>
    <t>Tablet, Desk Lamp, Smart Watch, Projector</t>
  </si>
  <si>
    <t>ORD-20240029</t>
  </si>
  <si>
    <t>2024-03-29</t>
  </si>
  <si>
    <t>Smartphone, Keyboard, Desk Chair</t>
  </si>
  <si>
    <t>ORD-20240030</t>
  </si>
  <si>
    <t>2024-04-02</t>
  </si>
  <si>
    <t>2024-04-12</t>
  </si>
  <si>
    <t>Router, Laptop, Speaker, External Hard Drive, Desk Lamp</t>
  </si>
  <si>
    <t>ORD-20240031</t>
  </si>
  <si>
    <t>2024-08-14</t>
  </si>
  <si>
    <t>2024-08-20</t>
  </si>
  <si>
    <t>Printer, External Hard Drive, Headphones</t>
  </si>
  <si>
    <t>ORD-20240032</t>
  </si>
  <si>
    <t>2024-08-16</t>
  </si>
  <si>
    <t>Monitor, Headphones, External Hard Drive, Mouse, Router</t>
  </si>
  <si>
    <t>ORD-20240033</t>
  </si>
  <si>
    <t>2024-04-21</t>
  </si>
  <si>
    <t>2024-04-26</t>
  </si>
  <si>
    <t>Desk Chair, Laptop, Headphones, Monitor, Router</t>
  </si>
  <si>
    <t>ORD-20240034</t>
  </si>
  <si>
    <t>2024-05-15</t>
  </si>
  <si>
    <t>2024-05-17</t>
  </si>
  <si>
    <t>External Hard Drive, Headphones, Projector, Webcam, Speaker</t>
  </si>
  <si>
    <t>ORD-20240035</t>
  </si>
  <si>
    <t>2024-09-21</t>
  </si>
  <si>
    <t>2024-09-27</t>
  </si>
  <si>
    <t>Mouse, Desk Chair, Speaker</t>
  </si>
  <si>
    <t>ORD-20240036</t>
  </si>
  <si>
    <t>2024-12-18</t>
  </si>
  <si>
    <t>Smartphone, External Hard Drive, Webcam</t>
  </si>
  <si>
    <t>ORD-20240037</t>
  </si>
  <si>
    <t>2024-04-24</t>
  </si>
  <si>
    <t>2024-04-29</t>
  </si>
  <si>
    <t>Smartphone, Tablet, Laptop</t>
  </si>
  <si>
    <t>ORD-20240038</t>
  </si>
  <si>
    <t>2024-02-02</t>
  </si>
  <si>
    <t>Webcam, Monitor, Router, Printer</t>
  </si>
  <si>
    <t>ORD-20240039</t>
  </si>
  <si>
    <t>2024-05-03</t>
  </si>
  <si>
    <t>Mouse, External Hard Drive, Webcam, Smart Watch, Projector</t>
  </si>
  <si>
    <t>ORD-20240040</t>
  </si>
  <si>
    <t>2024-12-15</t>
  </si>
  <si>
    <t>2024-12-22</t>
  </si>
  <si>
    <t>Desk Lamp, Webcam, Keyboard, Laptop, Projector</t>
  </si>
  <si>
    <t>ORD-20240041</t>
  </si>
  <si>
    <t>2024-06-18</t>
  </si>
  <si>
    <t>2024-06-25</t>
  </si>
  <si>
    <t>Mouse, Speaker, Printer, Monitor</t>
  </si>
  <si>
    <t>ORD-20240042</t>
  </si>
  <si>
    <t>2024-03-30</t>
  </si>
  <si>
    <t>Router, External Hard Drive, Webcam</t>
  </si>
  <si>
    <t>ORD-20240043</t>
  </si>
  <si>
    <t>2024-05-01</t>
  </si>
  <si>
    <t>2024-05-09</t>
  </si>
  <si>
    <t>Projector, Laptop, Keyboard, Monitor, Speaker</t>
  </si>
  <si>
    <t>ORD-20240044</t>
  </si>
  <si>
    <t>2024-12-29</t>
  </si>
  <si>
    <t>Webcam, Monitor, Smartphone, External Hard Drive, Printer</t>
  </si>
  <si>
    <t>ORD-20240045</t>
  </si>
  <si>
    <t>2024-11-02</t>
  </si>
  <si>
    <t>Mouse, Headphones, Desk Chair</t>
  </si>
  <si>
    <t>ORD-20240046</t>
  </si>
  <si>
    <t>2024-05-13</t>
  </si>
  <si>
    <t>2024-05-20</t>
  </si>
  <si>
    <t>Projector, Monitor, External Hard Drive</t>
  </si>
  <si>
    <t>ORD-20240047</t>
  </si>
  <si>
    <t>2024-05-05</t>
  </si>
  <si>
    <t>Projector, Speaker, Headphones, Printer, Smartphone</t>
  </si>
  <si>
    <t>ORD-20240048</t>
  </si>
  <si>
    <t>2024-03-12</t>
  </si>
  <si>
    <t>Speaker, Keyboard, Smartphone</t>
  </si>
  <si>
    <t>ORD-20240049</t>
  </si>
  <si>
    <t>2024-06-11</t>
  </si>
  <si>
    <t>Projector, Mouse, Smartphone, Desk Chair, Headphones</t>
  </si>
  <si>
    <t>ORD-20240050</t>
  </si>
  <si>
    <t>2024-12-26</t>
  </si>
  <si>
    <t>2025-01-01</t>
  </si>
  <si>
    <t>Speaker, Laptop, Headphones, Mouse, Webcam</t>
  </si>
  <si>
    <t>ORD-20240051</t>
  </si>
  <si>
    <t>2024-09-23</t>
  </si>
  <si>
    <t>2024-10-04</t>
  </si>
  <si>
    <t>Mouse, Webcam, Printer, Desk Chair, Smartphone</t>
  </si>
  <si>
    <t>ORD-20240052</t>
  </si>
  <si>
    <t>2024-08-11</t>
  </si>
  <si>
    <t>Headphones, Speaker, Mouse, Tablet</t>
  </si>
  <si>
    <t>ORD-20240053</t>
  </si>
  <si>
    <t>2024-09-16</t>
  </si>
  <si>
    <t>2024-09-18</t>
  </si>
  <si>
    <t>Webcam, External Hard Drive, Monitor, Desk Lamp</t>
  </si>
  <si>
    <t>ORD-20240054</t>
  </si>
  <si>
    <t>2024-07-23</t>
  </si>
  <si>
    <t>2024-08-05</t>
  </si>
  <si>
    <t>Smart Watch, Mouse, Webcam, Printer, Keyboard</t>
  </si>
  <si>
    <t>ORD-20240055</t>
  </si>
  <si>
    <t>2024-10-12</t>
  </si>
  <si>
    <t>2024-10-23</t>
  </si>
  <si>
    <t>Speaker, Smart Watch, Desk Lamp, Laptop</t>
  </si>
  <si>
    <t>ORD-20240056</t>
  </si>
  <si>
    <t>Headphones, External Hard Drive, Router, Speaker, Keyboard</t>
  </si>
  <si>
    <t>ORD-20240057</t>
  </si>
  <si>
    <t>2024-04-25</t>
  </si>
  <si>
    <t>Desk Chair, Mouse, Smart Watch, Printer, Headphones</t>
  </si>
  <si>
    <t>ORD-20240058</t>
  </si>
  <si>
    <t>2024-05-06</t>
  </si>
  <si>
    <t>Desk Chair, Router, Speaker</t>
  </si>
  <si>
    <t>ORD-20240059</t>
  </si>
  <si>
    <t>2024-11-20</t>
  </si>
  <si>
    <t>2024-12-04</t>
  </si>
  <si>
    <t>External Hard Drive, Router, Laptop, Smart Watch</t>
  </si>
  <si>
    <t>ORD-20240060</t>
  </si>
  <si>
    <t>2024-03-21</t>
  </si>
  <si>
    <t>2024-03-28</t>
  </si>
  <si>
    <t>Webcam, Tablet, Keyboard, Monitor, Desk Chair</t>
  </si>
  <si>
    <t>ORD-20240061</t>
  </si>
  <si>
    <t>2024-05-22</t>
  </si>
  <si>
    <t>2024-05-24</t>
  </si>
  <si>
    <t>Mouse, Router, Desk Lamp, External Hard Drive, Printer</t>
  </si>
  <si>
    <t>ORD-20240062</t>
  </si>
  <si>
    <t>2024-03-15</t>
  </si>
  <si>
    <t>2024-03-24</t>
  </si>
  <si>
    <t>Webcam, Headphones, Keyboard</t>
  </si>
  <si>
    <t>ORD-20240063</t>
  </si>
  <si>
    <t>2024-07-13</t>
  </si>
  <si>
    <t>Projector, Laptop, Router, External Hard Drive, Smart Watch</t>
  </si>
  <si>
    <t>ORD-20240064</t>
  </si>
  <si>
    <t>2024-04-09</t>
  </si>
  <si>
    <t>2024-04-15</t>
  </si>
  <si>
    <t>Monitor, Router, Smartphone</t>
  </si>
  <si>
    <t>ORD-20240065</t>
  </si>
  <si>
    <t>2024-11-15</t>
  </si>
  <si>
    <t>2024-11-29</t>
  </si>
  <si>
    <t>Desk Lamp, Smart Watch, Speaker</t>
  </si>
  <si>
    <t>ORD-20240066</t>
  </si>
  <si>
    <t>2024-04-20</t>
  </si>
  <si>
    <t>Printer, Smart Watch, Projector, Smartphone</t>
  </si>
  <si>
    <t>ORD-20240067</t>
  </si>
  <si>
    <t>2024-01-13</t>
  </si>
  <si>
    <t>2024-01-16</t>
  </si>
  <si>
    <t>Headphones, Printer, Router</t>
  </si>
  <si>
    <t>ORD-20240068</t>
  </si>
  <si>
    <t>2024-03-06</t>
  </si>
  <si>
    <t>Mouse, Headphones, Smart Watch, Laptop</t>
  </si>
  <si>
    <t>ORD-20240069</t>
  </si>
  <si>
    <t>2024-07-12</t>
  </si>
  <si>
    <t>2024-07-26</t>
  </si>
  <si>
    <t>Speaker, Webcam, Headphones, Monitor</t>
  </si>
  <si>
    <t>ORD-20240070</t>
  </si>
  <si>
    <t>2024-04-10</t>
  </si>
  <si>
    <t>Speaker, Router, Headphones</t>
  </si>
  <si>
    <t>ORD-20240071</t>
  </si>
  <si>
    <t>2024-07-03</t>
  </si>
  <si>
    <t>2024-07-08</t>
  </si>
  <si>
    <t>Smartphone, Keyboard, Smart Watch</t>
  </si>
  <si>
    <t>ORD-20240072</t>
  </si>
  <si>
    <t>2024-12-27</t>
  </si>
  <si>
    <t>Desk Lamp, Mouse, Headphones</t>
  </si>
  <si>
    <t>ORD-20240073</t>
  </si>
  <si>
    <t>2024-10-31</t>
  </si>
  <si>
    <t>2024-11-12</t>
  </si>
  <si>
    <t>Webcam, Router, Mouse</t>
  </si>
  <si>
    <t>ORD-20240074</t>
  </si>
  <si>
    <t>2024-03-14</t>
  </si>
  <si>
    <t>2024-03-19</t>
  </si>
  <si>
    <t>Laptop, Monitor, Projector</t>
  </si>
  <si>
    <t>ORD-20240075</t>
  </si>
  <si>
    <t>2024-09-22</t>
  </si>
  <si>
    <t>Webcam, Smartphone, Tablet</t>
  </si>
  <si>
    <t>ORD-20240076</t>
  </si>
  <si>
    <t>Speaker, Projector, Tablet</t>
  </si>
  <si>
    <t>ORD-20240077</t>
  </si>
  <si>
    <t>2024-07-24</t>
  </si>
  <si>
    <t>2024-07-31</t>
  </si>
  <si>
    <t>Desk Lamp, External Hard Drive, Headphones, Projector, Desk Chair</t>
  </si>
  <si>
    <t>ORD-20240078</t>
  </si>
  <si>
    <t>2024-05-30</t>
  </si>
  <si>
    <t>2024-06-09</t>
  </si>
  <si>
    <t>Tablet, External Hard Drive, Laptop, Smart Watch, Printer</t>
  </si>
  <si>
    <t>ORD-20240079</t>
  </si>
  <si>
    <t>2024-10-09</t>
  </si>
  <si>
    <t>Webcam, Desk Chair, Smartphone, Laptop</t>
  </si>
  <si>
    <t>ORD-20240080</t>
  </si>
  <si>
    <t>2024-07-21</t>
  </si>
  <si>
    <t>Headphones, Desk Lamp, Keyboard</t>
  </si>
  <si>
    <t>ORD-20240081</t>
  </si>
  <si>
    <t>2024-03-31</t>
  </si>
  <si>
    <t>2024-04-06</t>
  </si>
  <si>
    <t>Tablet, Router, Mouse</t>
  </si>
  <si>
    <t>ORD-20240082</t>
  </si>
  <si>
    <t>2024-09-15</t>
  </si>
  <si>
    <t>Desk Chair, Laptop, Speaker</t>
  </si>
  <si>
    <t>ORD-20240083</t>
  </si>
  <si>
    <t>Router, Printer, Smart Watch, Keyboard</t>
  </si>
  <si>
    <t>ORD-20240084</t>
  </si>
  <si>
    <t>2024-09-30</t>
  </si>
  <si>
    <t>Speaker, Printer, Mouse, Smart Watch, Desk Lamp</t>
  </si>
  <si>
    <t>ORD-20240085</t>
  </si>
  <si>
    <t>2024-08-25</t>
  </si>
  <si>
    <t>Router, Speaker, Printer, Smart Watch, Monitor</t>
  </si>
  <si>
    <t>ORD-20240086</t>
  </si>
  <si>
    <t>2024-06-06</t>
  </si>
  <si>
    <t>2024-06-20</t>
  </si>
  <si>
    <t>Laptop, Smartphone, Mouse</t>
  </si>
  <si>
    <t>ORD-20240087</t>
  </si>
  <si>
    <t>2024-06-02</t>
  </si>
  <si>
    <t>2024-06-04</t>
  </si>
  <si>
    <t>Desk Lamp, Webcam, Headphones</t>
  </si>
  <si>
    <t>ORD-20240088</t>
  </si>
  <si>
    <t>2024-10-18</t>
  </si>
  <si>
    <t>2024-10-28</t>
  </si>
  <si>
    <t>External Hard Drive, Mouse, Monitor, Webcam, Projector</t>
  </si>
  <si>
    <t>ORD-20240089</t>
  </si>
  <si>
    <t>2024-04-28</t>
  </si>
  <si>
    <t>2024-05-04</t>
  </si>
  <si>
    <t>Tablet, Mouse, Projector, Speaker, Smart Watch</t>
  </si>
  <si>
    <t>ORD-20240090</t>
  </si>
  <si>
    <t>2024-03-26</t>
  </si>
  <si>
    <t>Speaker, Monitor, Smartphone</t>
  </si>
  <si>
    <t>ORD-20240091</t>
  </si>
  <si>
    <t>2024-02-01</t>
  </si>
  <si>
    <t>Desk Chair, Smartphone, Mouse</t>
  </si>
  <si>
    <t>ORD-20240092</t>
  </si>
  <si>
    <t>2024-03-22</t>
  </si>
  <si>
    <t>Printer, Router, Webcam</t>
  </si>
  <si>
    <t>ORD-20240093</t>
  </si>
  <si>
    <t>2024-12-28</t>
  </si>
  <si>
    <t>2025-01-11</t>
  </si>
  <si>
    <t>Headphones, Keyboard, Desk Lamp, Webcam</t>
  </si>
  <si>
    <t>ORD-20240094</t>
  </si>
  <si>
    <t>2024-12-08</t>
  </si>
  <si>
    <t>2024-12-14</t>
  </si>
  <si>
    <t>Printer, External Hard Drive, Headphones, Monitor, Smartphone</t>
  </si>
  <si>
    <t>ORD-20240095</t>
  </si>
  <si>
    <t>Printer, Smartphone, Smart Watch, Keyboard, Laptop</t>
  </si>
  <si>
    <t>ORD-20240096</t>
  </si>
  <si>
    <t>2024-04-07</t>
  </si>
  <si>
    <t>Tablet, Laptop, Projector, Monitor, Desk Chair</t>
  </si>
  <si>
    <t>ORD-20240097</t>
  </si>
  <si>
    <t>2024-11-16</t>
  </si>
  <si>
    <t>Router, Keyboard, Mouse, Headphones</t>
  </si>
  <si>
    <t>ORD-20240098</t>
  </si>
  <si>
    <t>2024-11-18</t>
  </si>
  <si>
    <t>Headphones, Webcam, Router, Desk Lamp, Desk Chair</t>
  </si>
  <si>
    <t>ORD-20240099</t>
  </si>
  <si>
    <t>2024-02-29</t>
  </si>
  <si>
    <t>Webcam, Headphones, Printer, External Hard Drive, Projector</t>
  </si>
  <si>
    <t>ORD-20240100</t>
  </si>
  <si>
    <t>2024-02-13</t>
  </si>
  <si>
    <t>2024-02-18</t>
  </si>
  <si>
    <t>Keyboard, Desk Chair, Laptop, Smart Watch, Speaker</t>
  </si>
  <si>
    <t>ORD-20240101</t>
  </si>
  <si>
    <t>2024-10-03</t>
  </si>
  <si>
    <t>Router, Speaker, Desk Lamp</t>
  </si>
  <si>
    <t>ORD-20240102</t>
  </si>
  <si>
    <t>2024-05-10</t>
  </si>
  <si>
    <t>Webcam, Mouse, Speaker</t>
  </si>
  <si>
    <t>ORD-20240103</t>
  </si>
  <si>
    <t>2024-07-16</t>
  </si>
  <si>
    <t>Desk Chair, Monitor, Mouse</t>
  </si>
  <si>
    <t>ORD-20240104</t>
  </si>
  <si>
    <t>Webcam, Smart Watch, Headphones</t>
  </si>
  <si>
    <t>ORD-20240105</t>
  </si>
  <si>
    <t>2024-11-26</t>
  </si>
  <si>
    <t>Monitor, Router, Tablet, Smart Watch, External Hard Drive</t>
  </si>
  <si>
    <t>ORD-20240106</t>
  </si>
  <si>
    <t>External Hard Drive, Router, Speaker, Headphones, Tablet</t>
  </si>
  <si>
    <t>ORD-20240107</t>
  </si>
  <si>
    <t>2024-05-25</t>
  </si>
  <si>
    <t>Router, Laptop, Speaker, Projector, Smartphone</t>
  </si>
  <si>
    <t>ORD-20240108</t>
  </si>
  <si>
    <t>Printer, Router, Monitor, Keyboard, Headphones</t>
  </si>
  <si>
    <t>ORD-20240109</t>
  </si>
  <si>
    <t>2024-12-17</t>
  </si>
  <si>
    <t>Projector, Keyboard, Desk Chair, Router</t>
  </si>
  <si>
    <t>ORD-20240110</t>
  </si>
  <si>
    <t>2024-11-01</t>
  </si>
  <si>
    <t>2024-11-10</t>
  </si>
  <si>
    <t>Monitor, Speaker, Printer, Smart Watch</t>
  </si>
  <si>
    <t>ORD-20240111</t>
  </si>
  <si>
    <t>2025-01-08</t>
  </si>
  <si>
    <t>Headphones, Router, Monitor, Desk Chair</t>
  </si>
  <si>
    <t>ORD-20240112</t>
  </si>
  <si>
    <t>Router, Headphones, Desk Chair, Printer, Monitor</t>
  </si>
  <si>
    <t>ORD-20240113</t>
  </si>
  <si>
    <t>2024-01-03</t>
  </si>
  <si>
    <t>External Hard Drive, Desk Lamp, Headphones, Printer</t>
  </si>
  <si>
    <t>ORD-20240114</t>
  </si>
  <si>
    <t>2024-02-08</t>
  </si>
  <si>
    <t>2024-02-17</t>
  </si>
  <si>
    <t>Desk Lamp, Laptop, Router, Speaker</t>
  </si>
  <si>
    <t>ORD-20240115</t>
  </si>
  <si>
    <t>2024-01-06</t>
  </si>
  <si>
    <t>Keyboard, Printer, Monitor, Router, Mouse</t>
  </si>
  <si>
    <t>ORD-20240116</t>
  </si>
  <si>
    <t>2024-08-22</t>
  </si>
  <si>
    <t>External Hard Drive, Laptop, Tablet, Speaker, Headphones</t>
  </si>
  <si>
    <t>ORD-20240117</t>
  </si>
  <si>
    <t>2024-02-11</t>
  </si>
  <si>
    <t>Router, Speaker, Tablet</t>
  </si>
  <si>
    <t>ORD-20240118</t>
  </si>
  <si>
    <t>2024-11-07</t>
  </si>
  <si>
    <t>Desk Lamp, External Hard Drive, Projector</t>
  </si>
  <si>
    <t>ORD-20240119</t>
  </si>
  <si>
    <t>Tablet, Webcam, Headphones</t>
  </si>
  <si>
    <t>ORD-20240120</t>
  </si>
  <si>
    <t>2024-06-22</t>
  </si>
  <si>
    <t>Router, Monitor, Desk Chair, Laptop</t>
  </si>
  <si>
    <t>ORD-20240121</t>
  </si>
  <si>
    <t>2024-06-17</t>
  </si>
  <si>
    <t>2024-07-01</t>
  </si>
  <si>
    <t>Speaker, External Hard Drive, Smart Watch, Router, Desk Chair</t>
  </si>
  <si>
    <t>ORD-20240122</t>
  </si>
  <si>
    <t>Desk Chair, Mouse, Headphones, Webcam</t>
  </si>
  <si>
    <t>ORD-20240123</t>
  </si>
  <si>
    <t>Smartphone, Projector, Mouse, Keyboard, Headphones</t>
  </si>
  <si>
    <t>ORD-20240124</t>
  </si>
  <si>
    <t>2025-01-09</t>
  </si>
  <si>
    <t>Smart Watch, Keyboard, External Hard Drive, Monitor, Router</t>
  </si>
  <si>
    <t>ORD-20240125</t>
  </si>
  <si>
    <t>Mouse, Router, Smart Watch, Desk Lamp, Smartphone</t>
  </si>
  <si>
    <t>ORD-20240126</t>
  </si>
  <si>
    <t>2024-04-03</t>
  </si>
  <si>
    <t>Laptop, Printer, Projector, Smart Watch, Webcam</t>
  </si>
  <si>
    <t>ORD-20240127</t>
  </si>
  <si>
    <t>2024-10-11</t>
  </si>
  <si>
    <t>Laptop, Mouse, Desk Chair, Projector</t>
  </si>
  <si>
    <t>ORD-20240128</t>
  </si>
  <si>
    <t>2025-01-07</t>
  </si>
  <si>
    <t>Speaker, Mouse, Headphones, Desk Lamp</t>
  </si>
  <si>
    <t>ORD-20240129</t>
  </si>
  <si>
    <t>2024-11-14</t>
  </si>
  <si>
    <t>Monitor, Smartphone, Tablet, Mouse, Headphones</t>
  </si>
  <si>
    <t>ORD-20240130</t>
  </si>
  <si>
    <t>2024-03-01</t>
  </si>
  <si>
    <t>2024-03-09</t>
  </si>
  <si>
    <t>Smart Watch, Headphones, Projector</t>
  </si>
  <si>
    <t>ORD-20240131</t>
  </si>
  <si>
    <t>2024-12-12</t>
  </si>
  <si>
    <t>Speaker, Tablet, External Hard Drive</t>
  </si>
  <si>
    <t>ORD-20240132</t>
  </si>
  <si>
    <t>2024-07-07</t>
  </si>
  <si>
    <t>2024-07-11</t>
  </si>
  <si>
    <t>Webcam, Router, External Hard Drive, Mouse</t>
  </si>
  <si>
    <t>ORD-20240133</t>
  </si>
  <si>
    <t>Headphones, Smartphone, Mouse, Tablet</t>
  </si>
  <si>
    <t>ORD-20240134</t>
  </si>
  <si>
    <t>Desk Chair, Speaker, Mouse</t>
  </si>
  <si>
    <t>ORD-20240135</t>
  </si>
  <si>
    <t>2024-08-27</t>
  </si>
  <si>
    <t>Laptop, Smartphone, Tablet, Keyboard, Router</t>
  </si>
  <si>
    <t>ORD-20240136</t>
  </si>
  <si>
    <t>2024-11-30</t>
  </si>
  <si>
    <t>Webcam, External Hard Drive, Desk Lamp, Headphones</t>
  </si>
  <si>
    <t>ORD-20240137</t>
  </si>
  <si>
    <t>2024-03-05</t>
  </si>
  <si>
    <t>2024-03-17</t>
  </si>
  <si>
    <t>Desk Lamp, Projector, Printer, Mouse</t>
  </si>
  <si>
    <t>ORD-20240138</t>
  </si>
  <si>
    <t>2024-11-08</t>
  </si>
  <si>
    <t>Keyboard, Printer, Headphones</t>
  </si>
  <si>
    <t>ORD-20240139</t>
  </si>
  <si>
    <t>2024-09-20</t>
  </si>
  <si>
    <t>Speaker, Router, Printer</t>
  </si>
  <si>
    <t>ORD-20240140</t>
  </si>
  <si>
    <t>2024-05-27</t>
  </si>
  <si>
    <t>2024-05-31</t>
  </si>
  <si>
    <t>Smart Watch, Mouse, Keyboard</t>
  </si>
  <si>
    <t>ORD-20240141</t>
  </si>
  <si>
    <t>2024-10-27</t>
  </si>
  <si>
    <t>Router, Speaker, Projector</t>
  </si>
  <si>
    <t>ORD-20240142</t>
  </si>
  <si>
    <t>2024-12-02</t>
  </si>
  <si>
    <t>Printer, Desk Chair, Speaker, Smartphone, Headphones</t>
  </si>
  <si>
    <t>ORD-20240143</t>
  </si>
  <si>
    <t>2024-07-18</t>
  </si>
  <si>
    <t>Laptop, External Hard Drive, Mouse, Smartphone, Printer</t>
  </si>
  <si>
    <t>ORD-20240144</t>
  </si>
  <si>
    <t>2024-05-11</t>
  </si>
  <si>
    <t>2024-05-21</t>
  </si>
  <si>
    <t>Tablet, Laptop, Keyboard, Speaker</t>
  </si>
  <si>
    <t>ORD-20240145</t>
  </si>
  <si>
    <t>2024-09-19</t>
  </si>
  <si>
    <t>Speaker, Monitor, Mouse</t>
  </si>
  <si>
    <t>ORD-20240146</t>
  </si>
  <si>
    <t>2024-08-17</t>
  </si>
  <si>
    <t>Router, Laptop, Smart Watch, Printer</t>
  </si>
  <si>
    <t>ORD-20240147</t>
  </si>
  <si>
    <t>2024-11-28</t>
  </si>
  <si>
    <t>Desk Lamp, Laptop, Smartphone, Projector, Headphones</t>
  </si>
  <si>
    <t>ORD-20240148</t>
  </si>
  <si>
    <t>2024-07-05</t>
  </si>
  <si>
    <t>Smartphone, Smart Watch, Keyboard, External Hard Drive, Webcam</t>
  </si>
  <si>
    <t>ORD-20240149</t>
  </si>
  <si>
    <t>2024-06-24</t>
  </si>
  <si>
    <t>2024-06-26</t>
  </si>
  <si>
    <t>Headphones, Keyboard, Projector, External Hard Drive, Printer</t>
  </si>
  <si>
    <t>ORD-20240150</t>
  </si>
  <si>
    <t>2024-08-19</t>
  </si>
  <si>
    <t>2024-08-30</t>
  </si>
  <si>
    <t>Printer, Mouse, Speaker</t>
  </si>
  <si>
    <t>ORD-20240151</t>
  </si>
  <si>
    <t>2024-08-29</t>
  </si>
  <si>
    <t>2024-09-07</t>
  </si>
  <si>
    <t>Speaker, Desk Chair, Mouse</t>
  </si>
  <si>
    <t>ORD-20240152</t>
  </si>
  <si>
    <t>Printer, Tablet, Mouse, Monitor</t>
  </si>
  <si>
    <t>ORD-20240153</t>
  </si>
  <si>
    <t>2025-01-03</t>
  </si>
  <si>
    <t>Monitor, Speaker, Tablet, Desk Lamp, Smartphone</t>
  </si>
  <si>
    <t>ORD-20240154</t>
  </si>
  <si>
    <t>2024-06-03</t>
  </si>
  <si>
    <t>2024-06-12</t>
  </si>
  <si>
    <t>Keyboard, Smart Watch, Router, Mouse, Printer</t>
  </si>
  <si>
    <t>ORD-20240155</t>
  </si>
  <si>
    <t>Tablet, External Hard Drive, Desk Chair, Monitor, Projector</t>
  </si>
  <si>
    <t>ORD-20240156</t>
  </si>
  <si>
    <t>2024-05-18</t>
  </si>
  <si>
    <t>2024-06-01</t>
  </si>
  <si>
    <t>External Hard Drive, Smartphone, Printer</t>
  </si>
  <si>
    <t>ORD-20240157</t>
  </si>
  <si>
    <t>2024-08-09</t>
  </si>
  <si>
    <t>Keyboard, Router, Tablet, Projector, Smart Watch</t>
  </si>
  <si>
    <t>ORD-20240158</t>
  </si>
  <si>
    <t>Desk Lamp, Keyboard, Speaker, Mouse, Smartphone</t>
  </si>
  <si>
    <t>ORD-20240159</t>
  </si>
  <si>
    <t>2024-10-02</t>
  </si>
  <si>
    <t>2024-10-07</t>
  </si>
  <si>
    <t>Webcam, Printer, Speaker, Monitor, Desk Lamp</t>
  </si>
  <si>
    <t>ORD-20240160</t>
  </si>
  <si>
    <t>2024-05-02</t>
  </si>
  <si>
    <t>Desk Lamp, Projector, Monitor, Tablet</t>
  </si>
  <si>
    <t>ORD-20240161</t>
  </si>
  <si>
    <t>2024-10-17</t>
  </si>
  <si>
    <t>Desk Chair, Webcam, Router</t>
  </si>
  <si>
    <t>ORD-20240162</t>
  </si>
  <si>
    <t>Monitor, External Hard Drive, Webcam</t>
  </si>
  <si>
    <t>ORD-20240163</t>
  </si>
  <si>
    <t>2024-05-16</t>
  </si>
  <si>
    <t>Printer, Speaker, Monitor, Tablet, Smartphone</t>
  </si>
  <si>
    <t>ORD-20240164</t>
  </si>
  <si>
    <t>Desk Chair, Smartphone, Tablet</t>
  </si>
  <si>
    <t>ORD-20240165</t>
  </si>
  <si>
    <t>2024-10-24</t>
  </si>
  <si>
    <t>2024-11-04</t>
  </si>
  <si>
    <t>Printer, Smart Watch, Mouse</t>
  </si>
  <si>
    <t>ORD-20240166</t>
  </si>
  <si>
    <t>2024-11-03</t>
  </si>
  <si>
    <t>Laptop, Smart Watch, Monitor</t>
  </si>
  <si>
    <t>ORD-20240167</t>
  </si>
  <si>
    <t>2024-02-10</t>
  </si>
  <si>
    <t>Desk Lamp, Keyboard, Smartphone, Headphones</t>
  </si>
  <si>
    <t>ORD-20240168</t>
  </si>
  <si>
    <t>2024-08-06</t>
  </si>
  <si>
    <t>Projector, Laptop, Desk Lamp</t>
  </si>
  <si>
    <t>ORD-20240169</t>
  </si>
  <si>
    <t>Smartphone, Mouse, Smart Watch, Router</t>
  </si>
  <si>
    <t>ORD-20240170</t>
  </si>
  <si>
    <t>2024-04-05</t>
  </si>
  <si>
    <t>Laptop, Headphones, Tablet</t>
  </si>
  <si>
    <t>ORD-20240171</t>
  </si>
  <si>
    <t>2024-01-08</t>
  </si>
  <si>
    <t>2024-01-10</t>
  </si>
  <si>
    <t>Smart Watch, Desk Lamp, Speaker</t>
  </si>
  <si>
    <t>ORD-20240172</t>
  </si>
  <si>
    <t>2024-09-12</t>
  </si>
  <si>
    <t>2024-09-24</t>
  </si>
  <si>
    <t>Projector, Desk Chair, Monitor, Smart Watch, Printer</t>
  </si>
  <si>
    <t>ORD-20240173</t>
  </si>
  <si>
    <t>2024-03-16</t>
  </si>
  <si>
    <t>Projector, Keyboard, Webcam, Desk Lamp</t>
  </si>
  <si>
    <t>ORD-20240174</t>
  </si>
  <si>
    <t>2024-01-15</t>
  </si>
  <si>
    <t>Printer, Desk Lamp, External Hard Drive, Monitor</t>
  </si>
  <si>
    <t>ORD-20240175</t>
  </si>
  <si>
    <t>2024-02-15</t>
  </si>
  <si>
    <t>2024-02-28</t>
  </si>
  <si>
    <t>Webcam, Desk Chair, Tablet</t>
  </si>
  <si>
    <t>ORD-20240176</t>
  </si>
  <si>
    <t>2024-10-20</t>
  </si>
  <si>
    <t>Webcam, Tablet, Smartphone</t>
  </si>
  <si>
    <t>ORD-20240177</t>
  </si>
  <si>
    <t>2024-08-24</t>
  </si>
  <si>
    <t>Router, Smartphone, Webcam, Projector, Smart Watch</t>
  </si>
  <si>
    <t>ORD-20240178</t>
  </si>
  <si>
    <t>2024-12-16</t>
  </si>
  <si>
    <t>Printer, Headphones, Desk Lamp</t>
  </si>
  <si>
    <t>ORD-20240179</t>
  </si>
  <si>
    <t>Projector, Smartphone, Webcam</t>
  </si>
  <si>
    <t>ORD-20240180</t>
  </si>
  <si>
    <t>2024-07-20</t>
  </si>
  <si>
    <t>Tablet, Monitor, Speaker</t>
  </si>
  <si>
    <t>ORD-20240181</t>
  </si>
  <si>
    <t>2024-01-31</t>
  </si>
  <si>
    <t>Laptop, External Hard Drive, Desk Chair</t>
  </si>
  <si>
    <t>ORD-20240182</t>
  </si>
  <si>
    <t>2024-09-04</t>
  </si>
  <si>
    <t>Speaker, Laptop, Desk Chair</t>
  </si>
  <si>
    <t>ORD-20240183</t>
  </si>
  <si>
    <t>Desk Lamp, Desk Chair, Tablet</t>
  </si>
  <si>
    <t>ORD-20240184</t>
  </si>
  <si>
    <t>Mouse, Smartphone, Laptop</t>
  </si>
  <si>
    <t>ORD-20240185</t>
  </si>
  <si>
    <t>Router, Desk Lamp, Webcam</t>
  </si>
  <si>
    <t>ORD-20240186</t>
  </si>
  <si>
    <t>2024-12-20</t>
  </si>
  <si>
    <t>2024-12-23</t>
  </si>
  <si>
    <t>Desk Chair, Mouse, Monitor, Speaker</t>
  </si>
  <si>
    <t>ORD-20240187</t>
  </si>
  <si>
    <t>Keyboard, Smartphone, Desk Chair, Printer, Router</t>
  </si>
  <si>
    <t>ORD-20240188</t>
  </si>
  <si>
    <t>2024-05-29</t>
  </si>
  <si>
    <t>Printer, Projector, Smartphone</t>
  </si>
  <si>
    <t>ORD-20240189</t>
  </si>
  <si>
    <t>Monitor, Smart Watch, Smartphone, Headphones, Mouse</t>
  </si>
  <si>
    <t>ORD-20240190</t>
  </si>
  <si>
    <t>Headphones, Mouse, Desk Chair, Monitor</t>
  </si>
  <si>
    <t>ORD-20240191</t>
  </si>
  <si>
    <t>Desk Lamp, Monitor, Mouse, Webcam</t>
  </si>
  <si>
    <t>ORD-20240192</t>
  </si>
  <si>
    <t>Headphones, Laptop, Mouse</t>
  </si>
  <si>
    <t>ORD-20240193</t>
  </si>
  <si>
    <t>2024-01-18</t>
  </si>
  <si>
    <t>2024-01-24</t>
  </si>
  <si>
    <t>Speaker, Monitor, Projector</t>
  </si>
  <si>
    <t>ORD-20240194</t>
  </si>
  <si>
    <t>Router, Webcam, Smart Watch</t>
  </si>
  <si>
    <t>ORD-20240195</t>
  </si>
  <si>
    <t>Headphones, Webcam, Keyboard, Desk Lamp, Mouse</t>
  </si>
  <si>
    <t>ORD-20240196</t>
  </si>
  <si>
    <t>2024-12-24</t>
  </si>
  <si>
    <t>Speaker, Desk Chair, Monitor</t>
  </si>
  <si>
    <t>ORD-20240197</t>
  </si>
  <si>
    <t>2024-10-25</t>
  </si>
  <si>
    <t>Desk Chair, External Hard Drive, Monitor, Projector, Smart Watch</t>
  </si>
  <si>
    <t>ORD-20240198</t>
  </si>
  <si>
    <t>Router, Laptop, External Hard Drive, Desk Lamp</t>
  </si>
  <si>
    <t>ORD-20240199</t>
  </si>
  <si>
    <t>2024-06-08</t>
  </si>
  <si>
    <t>Keyboard, Printer, Tablet, External Hard Drive</t>
  </si>
  <si>
    <t>ORD-20240200</t>
  </si>
  <si>
    <t>Desk Lamp, Desk Chair, Monitor, Smart Watch, Printer</t>
  </si>
  <si>
    <t>ORD-20240201</t>
  </si>
  <si>
    <t>Smartphone, Desk Chair, External Hard Drive, Desk Lamp</t>
  </si>
  <si>
    <t>ORD-20240202</t>
  </si>
  <si>
    <t>2024-03-27</t>
  </si>
  <si>
    <t>Desk Lamp, Monitor, Router</t>
  </si>
  <si>
    <t>ORD-20240203</t>
  </si>
  <si>
    <t>2024-08-18</t>
  </si>
  <si>
    <t>Desk Lamp, Router, Smart Watch, Printer, Speaker</t>
  </si>
  <si>
    <t>ORD-20240204</t>
  </si>
  <si>
    <t>2024-09-09</t>
  </si>
  <si>
    <t>Keyboard, Tablet, Router</t>
  </si>
  <si>
    <t>ORD-20240205</t>
  </si>
  <si>
    <t>Tablet, Speaker, Projector, Desk Chair, Router</t>
  </si>
  <si>
    <t>ORD-20240206</t>
  </si>
  <si>
    <t>Headphones, Printer, Desk Lamp, Monitor</t>
  </si>
  <si>
    <t>ORD-20240207</t>
  </si>
  <si>
    <t>2024-11-11</t>
  </si>
  <si>
    <t>Monitor, Smart Watch, Tablet</t>
  </si>
  <si>
    <t>ORD-20240208</t>
  </si>
  <si>
    <t>Speaker, Router, External Hard Drive</t>
  </si>
  <si>
    <t>ORD-20240209</t>
  </si>
  <si>
    <t>Headphones, Webcam, Tablet</t>
  </si>
  <si>
    <t>ORD-20240210</t>
  </si>
  <si>
    <t>2024-01-17</t>
  </si>
  <si>
    <t>Desk Lamp, Printer, Mouse</t>
  </si>
  <si>
    <t>ORD-20240211</t>
  </si>
  <si>
    <t>2025-01-04</t>
  </si>
  <si>
    <t>Keyboard, Router, Desk Chair, Printer</t>
  </si>
  <si>
    <t>ORD-20240212</t>
  </si>
  <si>
    <t>2024-03-03</t>
  </si>
  <si>
    <t>External Hard Drive, Laptop, Smart Watch</t>
  </si>
  <si>
    <t>ORD-20240213</t>
  </si>
  <si>
    <t>Smart Watch, Projector, Smartphone, Monitor, Desk Lamp</t>
  </si>
  <si>
    <t>ORD-20240214</t>
  </si>
  <si>
    <t>Smart Watch, Webcam, Laptop, Speaker, Mouse</t>
  </si>
  <si>
    <t>ORD-20240215</t>
  </si>
  <si>
    <t>Tablet, Desk Chair, Keyboard</t>
  </si>
  <si>
    <t>ORD-20240216</t>
  </si>
  <si>
    <t>2024-02-12</t>
  </si>
  <si>
    <t>Webcam, Projector, Mouse, Tablet, Monitor</t>
  </si>
  <si>
    <t>ORD-20240217</t>
  </si>
  <si>
    <t>External Hard Drive, Router, Monitor, Smartphone, Keyboard</t>
  </si>
  <si>
    <t>ORD-20240218</t>
  </si>
  <si>
    <t>2024-11-19</t>
  </si>
  <si>
    <t>2024-11-24</t>
  </si>
  <si>
    <t>Headphones, Mouse, Router, Desk Lamp</t>
  </si>
  <si>
    <t>ORD-20240219</t>
  </si>
  <si>
    <t>2024-12-09</t>
  </si>
  <si>
    <t>Keyboard, Router, Printer, Speaker, Smart Watch</t>
  </si>
  <si>
    <t>ORD-20240220</t>
  </si>
  <si>
    <t>Desk Chair, Keyboard, External Hard Drive, Printer</t>
  </si>
  <si>
    <t>ORD-20240221</t>
  </si>
  <si>
    <t>Smart Watch, Speaker, Webcam</t>
  </si>
  <si>
    <t>ORD-20240222</t>
  </si>
  <si>
    <t>2024-10-13</t>
  </si>
  <si>
    <t>Router, Keyboard, Monitor, External Hard Drive</t>
  </si>
  <si>
    <t>ORD-20240223</t>
  </si>
  <si>
    <t>2024-05-28</t>
  </si>
  <si>
    <t>Projector, Desk Lamp, Mouse</t>
  </si>
  <si>
    <t>ORD-20240224</t>
  </si>
  <si>
    <t>2024-10-22</t>
  </si>
  <si>
    <t>Smartphone, Smart Watch, Tablet, Monitor, Desk Chair</t>
  </si>
  <si>
    <t>ORD-20240225</t>
  </si>
  <si>
    <t>2024-12-13</t>
  </si>
  <si>
    <t>Webcam, Smartphone, Desk Lamp, External Hard Drive</t>
  </si>
  <si>
    <t>ORD-20240226</t>
  </si>
  <si>
    <t>2024-08-08</t>
  </si>
  <si>
    <t>Projector, Router, Mouse, Monitor</t>
  </si>
  <si>
    <t>ORD-20240227</t>
  </si>
  <si>
    <t>2024-01-23</t>
  </si>
  <si>
    <t>Desk Chair, Keyboard, Projector, Monitor</t>
  </si>
  <si>
    <t>ORD-20240228</t>
  </si>
  <si>
    <t>2024-09-25</t>
  </si>
  <si>
    <t>Printer, Router, Headphones, External Hard Drive, Webcam</t>
  </si>
  <si>
    <t>ORD-20240229</t>
  </si>
  <si>
    <t>2024-07-27</t>
  </si>
  <si>
    <t>Smartphone, Desk Chair, Webcam, Keyboard</t>
  </si>
  <si>
    <t>ORD-20240230</t>
  </si>
  <si>
    <t>Router, Mouse, Webcam, Desk Lamp, External Hard Drive</t>
  </si>
  <si>
    <t>ORD-20240231</t>
  </si>
  <si>
    <t>2024-08-03</t>
  </si>
  <si>
    <t>Smartphone, Laptop, Router, Desk Chair, External Hard Drive</t>
  </si>
  <si>
    <t>ORD-20240232</t>
  </si>
  <si>
    <t>Desk Chair, Headphones, Desk Lamp</t>
  </si>
  <si>
    <t>ORD-20240233</t>
  </si>
  <si>
    <t>Router, Projector, Keyboard, Speaker, Monitor</t>
  </si>
  <si>
    <t>ORD-20240234</t>
  </si>
  <si>
    <t>2024-08-26</t>
  </si>
  <si>
    <t>2024-08-28</t>
  </si>
  <si>
    <t>Smart Watch, Desk Lamp, Keyboard</t>
  </si>
  <si>
    <t>ORD-20240235</t>
  </si>
  <si>
    <t>2024-02-19</t>
  </si>
  <si>
    <t>2024-02-21</t>
  </si>
  <si>
    <t>Desk Lamp, Monitor, Keyboard, Webcam</t>
  </si>
  <si>
    <t>ORD-20240236</t>
  </si>
  <si>
    <t>2024-06-10</t>
  </si>
  <si>
    <t>Mouse, Printer, Desk Lamp, Laptop, Keyboard</t>
  </si>
  <si>
    <t>ORD-20240237</t>
  </si>
  <si>
    <t>2024-12-10</t>
  </si>
  <si>
    <t>Mouse, Router, Headphones</t>
  </si>
  <si>
    <t>ORD-20240238</t>
  </si>
  <si>
    <t>Desk Chair, Projector, Smart Watch, Printer</t>
  </si>
  <si>
    <t>ORD-20240239</t>
  </si>
  <si>
    <t>Smartphone, Monitor, Keyboard, Printer</t>
  </si>
  <si>
    <t>ORD-20240240</t>
  </si>
  <si>
    <t>2024-02-07</t>
  </si>
  <si>
    <t>Desk Chair, Smart Watch, Keyboard, Laptop</t>
  </si>
  <si>
    <t>ORD-20240241</t>
  </si>
  <si>
    <t>External Hard Drive, Monitor, Webcam</t>
  </si>
  <si>
    <t>ORD-20240242</t>
  </si>
  <si>
    <t>2024-08-31</t>
  </si>
  <si>
    <t>2024-09-02</t>
  </si>
  <si>
    <t>Mouse, Headphones, Laptop, Monitor</t>
  </si>
  <si>
    <t>ORD-20240243</t>
  </si>
  <si>
    <t>2024-01-11</t>
  </si>
  <si>
    <t>Headphones, Tablet, Desk Chair</t>
  </si>
  <si>
    <t>ORD-20240244</t>
  </si>
  <si>
    <t>2024-09-06</t>
  </si>
  <si>
    <t>Headphones, Smart Watch, Router, Mouse</t>
  </si>
  <si>
    <t>ORD-20240245</t>
  </si>
  <si>
    <t>Speaker, Desk Lamp, External Hard Drive</t>
  </si>
  <si>
    <t>ORD-20240246</t>
  </si>
  <si>
    <t>2024-07-14</t>
  </si>
  <si>
    <t>Desk Chair, Headphones, Webcam</t>
  </si>
  <si>
    <t>ORD-20240247</t>
  </si>
  <si>
    <t>Router, Webcam, Desk Chair</t>
  </si>
  <si>
    <t>ORD-20240248</t>
  </si>
  <si>
    <t>2024-02-26</t>
  </si>
  <si>
    <t>Smartphone, Speaker, Projector</t>
  </si>
  <si>
    <t>ORD-20240249</t>
  </si>
  <si>
    <t>2024-03-07</t>
  </si>
  <si>
    <t>Desk Lamp, Printer, Router, Webcam</t>
  </si>
  <si>
    <t>ORD-20240250</t>
  </si>
  <si>
    <t>2024-04-27</t>
  </si>
  <si>
    <t>2024-05-08</t>
  </si>
  <si>
    <t>Monitor, Tablet, Desk Chair, Router, Headphones</t>
  </si>
  <si>
    <t>ORD-20240251</t>
  </si>
  <si>
    <t>Headphones, Desk Chair, Webcam, Monitor, Speaker</t>
  </si>
  <si>
    <t>ORD-20240252</t>
  </si>
  <si>
    <t>2024-03-04</t>
  </si>
  <si>
    <t>External Hard Drive, Router, Projector</t>
  </si>
  <si>
    <t>ORD-20240253</t>
  </si>
  <si>
    <t>2024-09-29</t>
  </si>
  <si>
    <t>Speaker, Headphones, Printer</t>
  </si>
  <si>
    <t>ORD-20240254</t>
  </si>
  <si>
    <t>Router, Smartphone, Tablet, Monitor, Desk Lamp</t>
  </si>
  <si>
    <t>ORD-20240255</t>
  </si>
  <si>
    <t>Tablet, Projector, External Hard Drive, Printer, Smartphone</t>
  </si>
  <si>
    <t>ORD-20240256</t>
  </si>
  <si>
    <t>Webcam, Smartphone, Printer, Router</t>
  </si>
  <si>
    <t>ORD-20240257</t>
  </si>
  <si>
    <t>2024-06-19</t>
  </si>
  <si>
    <t>Router, Monitor, Printer, Smartphone, Tablet</t>
  </si>
  <si>
    <t>ORD-20240258</t>
  </si>
  <si>
    <t>Tablet, Smartphone, Speaker, Desk Lamp</t>
  </si>
  <si>
    <t>ORD-20240259</t>
  </si>
  <si>
    <t>External Hard Drive, Headphones, Laptop, Projector</t>
  </si>
  <si>
    <t>ORD-20240260</t>
  </si>
  <si>
    <t>Monitor, Router, Desk Lamp, External Hard Drive</t>
  </si>
  <si>
    <t>ORD-20240261</t>
  </si>
  <si>
    <t>Speaker, Mouse, Projector, External Hard Drive, Headphones</t>
  </si>
  <si>
    <t>ORD-20240262</t>
  </si>
  <si>
    <t>Router, Monitor, Webcam, External Hard Drive, Laptop</t>
  </si>
  <si>
    <t>ORD-20240263</t>
  </si>
  <si>
    <t>2024-04-16</t>
  </si>
  <si>
    <t>Monitor, Keyboard, Mouse</t>
  </si>
  <si>
    <t>ORD-20240264</t>
  </si>
  <si>
    <t>Smart Watch, Desk Chair, Headphones</t>
  </si>
  <si>
    <t>ORD-20240265</t>
  </si>
  <si>
    <t>Mouse, Webcam, Tablet, Router</t>
  </si>
  <si>
    <t>ORD-20240266</t>
  </si>
  <si>
    <t>Desk Chair, Headphones, Desk Lamp, Printer, Smart Watch</t>
  </si>
  <si>
    <t>ORD-20240267</t>
  </si>
  <si>
    <t>2025-01-02</t>
  </si>
  <si>
    <t>Laptop, Mouse, Desk Chair, Tablet, Smart Watch</t>
  </si>
  <si>
    <t>ORD-20240268</t>
  </si>
  <si>
    <t>Monitor, Smartphone, Tablet</t>
  </si>
  <si>
    <t>ORD-20240269</t>
  </si>
  <si>
    <t>2024-01-05</t>
  </si>
  <si>
    <t>Desk Chair, Smartphone, Headphones, External Hard Drive</t>
  </si>
  <si>
    <t>ORD-20240270</t>
  </si>
  <si>
    <t>2024-02-23</t>
  </si>
  <si>
    <t>Mouse, Projector, Laptop</t>
  </si>
  <si>
    <t>ORD-20240271</t>
  </si>
  <si>
    <t>Tablet, Webcam, Printer, Desk Chair</t>
  </si>
  <si>
    <t>ORD-20240272</t>
  </si>
  <si>
    <t>2024-12-19</t>
  </si>
  <si>
    <t>Smartphone, Tablet, Router, Smart Watch</t>
  </si>
  <si>
    <t>ORD-20240273</t>
  </si>
  <si>
    <t>2024-06-23</t>
  </si>
  <si>
    <t>External Hard Drive, Tablet, Projector, Desk Lamp</t>
  </si>
  <si>
    <t>ORD-20240274</t>
  </si>
  <si>
    <t>Projector, Webcam, Router, Smart Watch, Tablet</t>
  </si>
  <si>
    <t>ORD-20240275</t>
  </si>
  <si>
    <t>2024-01-19</t>
  </si>
  <si>
    <t>Keyboard, Projector, Speaker, Tablet, Webcam</t>
  </si>
  <si>
    <t>ORD-20240276</t>
  </si>
  <si>
    <t>Headphones, Mouse, Smart Watch, Printer, Webcam</t>
  </si>
  <si>
    <t>ORD-20240277</t>
  </si>
  <si>
    <t>2024-05-23</t>
  </si>
  <si>
    <t>Tablet, Smart Watch, Desk Lamp</t>
  </si>
  <si>
    <t>ORD-20240278</t>
  </si>
  <si>
    <t>Projector, Smartphone, External Hard Drive, Headphones, Laptop</t>
  </si>
  <si>
    <t>ORD-20240279</t>
  </si>
  <si>
    <t>Projector, Laptop, Monitor</t>
  </si>
  <si>
    <t>ORD-20240280</t>
  </si>
  <si>
    <t>Projector, Tablet, Keyboard, Printer</t>
  </si>
  <si>
    <t>ORD-20240281</t>
  </si>
  <si>
    <t>Router, Laptop, Monitor, Smart Watch, Mouse</t>
  </si>
  <si>
    <t>ORD-20240282</t>
  </si>
  <si>
    <t>2024-07-06</t>
  </si>
  <si>
    <t>Speaker, Smart Watch, Smartphone, Projector</t>
  </si>
  <si>
    <t>ORD-20240283</t>
  </si>
  <si>
    <t>2024-07-22</t>
  </si>
  <si>
    <t>Laptop, Mouse, Router</t>
  </si>
  <si>
    <t>ORD-20240284</t>
  </si>
  <si>
    <t>Desk Lamp, Headphones, Smart Watch, Mouse, Laptop</t>
  </si>
  <si>
    <t>ORD-20240285</t>
  </si>
  <si>
    <t>Headphones, Speaker, Laptop, Printer</t>
  </si>
  <si>
    <t>ORD-20240286</t>
  </si>
  <si>
    <t>Webcam, Monitor, Speaker, Desk Lamp, Keyboard</t>
  </si>
  <si>
    <t>ORD-20240287</t>
  </si>
  <si>
    <t>Laptop, Router, Keyboard, Smartphone</t>
  </si>
  <si>
    <t>ORD-20240288</t>
  </si>
  <si>
    <t>Desk Chair, Headphones, Tablet, Smartphone</t>
  </si>
  <si>
    <t>ORD-20240289</t>
  </si>
  <si>
    <t>Laptop, Smart Watch, Desk Chair</t>
  </si>
  <si>
    <t>ORD-20240290</t>
  </si>
  <si>
    <t>2024-12-11</t>
  </si>
  <si>
    <t>Tablet, Keyboard, Monitor</t>
  </si>
  <si>
    <t>ORD-20240291</t>
  </si>
  <si>
    <t>Mouse, Router, Keyboard, Desk Chair</t>
  </si>
  <si>
    <t>ORD-20240292</t>
  </si>
  <si>
    <t>Smart Watch, Projector, Webcam, Headphones, Mouse</t>
  </si>
  <si>
    <t>ORD-20240293</t>
  </si>
  <si>
    <t>Projector, Keyboard, Printer, Laptop</t>
  </si>
  <si>
    <t>ORD-20240294</t>
  </si>
  <si>
    <t>Desk Lamp, Keyboard, Headphones, Speaker, Laptop</t>
  </si>
  <si>
    <t>ORD-20240295</t>
  </si>
  <si>
    <t>2024-05-19</t>
  </si>
  <si>
    <t>2024-05-26</t>
  </si>
  <si>
    <t>Headphones, Mouse, Webcam, External Hard Drive, Projector</t>
  </si>
  <si>
    <t>ORD-20240296</t>
  </si>
  <si>
    <t>Speaker, Mouse, Desk Lamp</t>
  </si>
  <si>
    <t>ORD-20240297</t>
  </si>
  <si>
    <t>Router, Printer, Speaker, Laptop</t>
  </si>
  <si>
    <t>ORD-20240298</t>
  </si>
  <si>
    <t>2024-01-25</t>
  </si>
  <si>
    <t>2024-02-05</t>
  </si>
  <si>
    <t>Smart Watch, Router, Monitor</t>
  </si>
  <si>
    <t>ORD-20240299</t>
  </si>
  <si>
    <t>Smartphone, Projector, Headphones, Webcam, Monitor</t>
  </si>
  <si>
    <t>ORD-20240300</t>
  </si>
  <si>
    <t>Printer, Mouse, External Hard Drive, Desk Lamp, Smartphone</t>
  </si>
  <si>
    <t>ORD-20240301</t>
  </si>
  <si>
    <t>2024-04-23</t>
  </si>
  <si>
    <t>Printer, Desk Lamp, Tablet, Headphones</t>
  </si>
  <si>
    <t>ORD-20240302</t>
  </si>
  <si>
    <t>2024-03-20</t>
  </si>
  <si>
    <t>External Hard Drive, Monitor, Smartphone, Desk Chair</t>
  </si>
  <si>
    <t>ORD-20240303</t>
  </si>
  <si>
    <t>2024-11-06</t>
  </si>
  <si>
    <t>Laptop, Keyboard, External Hard Drive, Smart Watch</t>
  </si>
  <si>
    <t>ORD-20240304</t>
  </si>
  <si>
    <t>2024-11-23</t>
  </si>
  <si>
    <t>Keyboard, Headphones, Mouse, Router, Desk Chair</t>
  </si>
  <si>
    <t>ORD-20240305</t>
  </si>
  <si>
    <t>Desk Lamp, Speaker, Desk Chair, Router, Webcam</t>
  </si>
  <si>
    <t>ORD-20240306</t>
  </si>
  <si>
    <t>Laptop, Desk Chair, Monitor</t>
  </si>
  <si>
    <t>ORD-20240307</t>
  </si>
  <si>
    <t>Webcam, Speaker, Monitor, Desk Chair, Smart Watch</t>
  </si>
  <si>
    <t>ORD-20240308</t>
  </si>
  <si>
    <t>Keyboard, External Hard Drive, Printer, Smart Watch</t>
  </si>
  <si>
    <t>ORD-20240309</t>
  </si>
  <si>
    <t>2024-04-30</t>
  </si>
  <si>
    <t>Mouse, External Hard Drive, Smartphone, Laptop</t>
  </si>
  <si>
    <t>ORD-20240310</t>
  </si>
  <si>
    <t>2024-06-14</t>
  </si>
  <si>
    <t>Tablet, Keyboard, Speaker, Headphones</t>
  </si>
  <si>
    <t>ORD-20240311</t>
  </si>
  <si>
    <t>Keyboard, External Hard Drive, Smart Watch, Desk Chair</t>
  </si>
  <si>
    <t>ORD-20240312</t>
  </si>
  <si>
    <t>Desk Chair, Tablet, Speaker</t>
  </si>
  <si>
    <t>ORD-20240313</t>
  </si>
  <si>
    <t>2024-12-06</t>
  </si>
  <si>
    <t>Tablet, Smartphone, Laptop, Speaker, Keyboard</t>
  </si>
  <si>
    <t>ORD-20240314</t>
  </si>
  <si>
    <t>Monitor, Projector, Laptop, Desk Chair, Mouse</t>
  </si>
  <si>
    <t>ORD-20240315</t>
  </si>
  <si>
    <t>2024-08-15</t>
  </si>
  <si>
    <t>Laptop, Desk Chair, Projector, Desk Lamp</t>
  </si>
  <si>
    <t>ORD-20240316</t>
  </si>
  <si>
    <t>Headphones, Speaker, Smart Watch</t>
  </si>
  <si>
    <t>ORD-20240317</t>
  </si>
  <si>
    <t>Monitor, Keyboard, Router, Projector</t>
  </si>
  <si>
    <t>ORD-20240318</t>
  </si>
  <si>
    <t>Webcam, Monitor, Speaker</t>
  </si>
  <si>
    <t>ORD-20240319</t>
  </si>
  <si>
    <t>Tablet, Projector, Smart Watch, Smartphone, Router</t>
  </si>
  <si>
    <t>ORD-20240320</t>
  </si>
  <si>
    <t>Tablet, Router, Smart Watch, Headphones</t>
  </si>
  <si>
    <t>ORD-20240321</t>
  </si>
  <si>
    <t>Printer, Speaker, Monitor, Tablet</t>
  </si>
  <si>
    <t>ORD-20240322</t>
  </si>
  <si>
    <t>2024-10-08</t>
  </si>
  <si>
    <t>Smart Watch, Projector, Printer</t>
  </si>
  <si>
    <t>ORD-20240323</t>
  </si>
  <si>
    <t>2024-10-29</t>
  </si>
  <si>
    <t>Desk Chair, Monitor, Speaker, Keyboard</t>
  </si>
  <si>
    <t>ORD-20240324</t>
  </si>
  <si>
    <t>External Hard Drive, Mouse, Desk Lamp, Headphones</t>
  </si>
  <si>
    <t>ORD-20240325</t>
  </si>
  <si>
    <t>2024-01-02</t>
  </si>
  <si>
    <t>Tablet, Mouse, Keyboard, Webcam</t>
  </si>
  <si>
    <t>ORD-20240326</t>
  </si>
  <si>
    <t>Desk Lamp, Webcam, Mouse, Desk Chair, External Hard Drive</t>
  </si>
  <si>
    <t>ORD-20240327</t>
  </si>
  <si>
    <t>2024-07-29</t>
  </si>
  <si>
    <t>Laptop, Mouse, Monitor</t>
  </si>
  <si>
    <t>ORD-20240328</t>
  </si>
  <si>
    <t>2024-05-12</t>
  </si>
  <si>
    <t>Router, Projector, Speaker</t>
  </si>
  <si>
    <t>ORD-20240329</t>
  </si>
  <si>
    <t>External Hard Drive, Smart Watch, Tablet, Desk Lamp</t>
  </si>
  <si>
    <t>ORD-20240330</t>
  </si>
  <si>
    <t>2024-09-13</t>
  </si>
  <si>
    <t>Router, Keyboard, Mouse</t>
  </si>
  <si>
    <t>ORD-20240331</t>
  </si>
  <si>
    <t>Projector, Monitor, Router</t>
  </si>
  <si>
    <t>ORD-20240332</t>
  </si>
  <si>
    <t>2024-04-01</t>
  </si>
  <si>
    <t>Desk Lamp, Printer, Smart Watch, Projector</t>
  </si>
  <si>
    <t>ORD-20240333</t>
  </si>
  <si>
    <t>Smart Watch, Tablet, Laptop</t>
  </si>
  <si>
    <t>ORD-20240334</t>
  </si>
  <si>
    <t>Keyboard, Smart Watch, Monitor, Router</t>
  </si>
  <si>
    <t>ORD-20240335</t>
  </si>
  <si>
    <t>Webcam, Smartphone, Mouse, Desk Chair</t>
  </si>
  <si>
    <t>ORD-20240336</t>
  </si>
  <si>
    <t>2024-11-22</t>
  </si>
  <si>
    <t>Router, Monitor, Smart Watch, Mouse</t>
  </si>
  <si>
    <t>ORD-20240337</t>
  </si>
  <si>
    <t>2024-07-04</t>
  </si>
  <si>
    <t>Printer, Projector, Keyboard, Mouse</t>
  </si>
  <si>
    <t>ORD-20240338</t>
  </si>
  <si>
    <t>Laptop, Speaker, Mouse</t>
  </si>
  <si>
    <t>ORD-20240339</t>
  </si>
  <si>
    <t>Smart Watch, Headphones, Speaker, Monitor, Desk Lamp</t>
  </si>
  <si>
    <t>ORD-20240340</t>
  </si>
  <si>
    <t>Headphones, Monitor, Smartphone, Webcam, Speaker</t>
  </si>
  <si>
    <t>ORD-20240341</t>
  </si>
  <si>
    <t>2025-01-10</t>
  </si>
  <si>
    <t>Desk Chair, Projector, Desk Lamp, Smart Watch</t>
  </si>
  <si>
    <t>ORD-20240342</t>
  </si>
  <si>
    <t>External Hard Drive, Desk Lamp, Mouse</t>
  </si>
  <si>
    <t>ORD-20240343</t>
  </si>
  <si>
    <t>Desk Chair, Laptop, Mouse</t>
  </si>
  <si>
    <t>ORD-20240344</t>
  </si>
  <si>
    <t>Desk Chair, Smartphone, Projector</t>
  </si>
  <si>
    <t>ORD-20240345</t>
  </si>
  <si>
    <t>Tablet, Smart Watch, Keyboard, Laptop, Desk Lamp</t>
  </si>
  <si>
    <t>ORD-20240346</t>
  </si>
  <si>
    <t>Laptop, Webcam, Projector</t>
  </si>
  <si>
    <t>ORD-20240347</t>
  </si>
  <si>
    <t>Desk Lamp, External Hard Drive, Laptop</t>
  </si>
  <si>
    <t>ORD-20240348</t>
  </si>
  <si>
    <t>2024-09-14</t>
  </si>
  <si>
    <t>2024-09-26</t>
  </si>
  <si>
    <t>Mouse, Router, Smart Watch, Keyboard, Tablet</t>
  </si>
  <si>
    <t>ORD-20240349</t>
  </si>
  <si>
    <t>Desk Lamp, Smart Watch, Mouse, Desk Chair, Speaker</t>
  </si>
  <si>
    <t>ORD-20240350</t>
  </si>
  <si>
    <t>Desk Lamp, Monitor, Smartphone</t>
  </si>
  <si>
    <t>ORD-20240351</t>
  </si>
  <si>
    <t>Speaker, Desk Chair, Projector, Headphones, External Hard Drive</t>
  </si>
  <si>
    <t>ORD-20240352</t>
  </si>
  <si>
    <t>2024-02-22</t>
  </si>
  <si>
    <t>Desk Lamp, Laptop, Router, Projector, Speaker</t>
  </si>
  <si>
    <t>ORD-20240353</t>
  </si>
  <si>
    <t>External Hard Drive, Laptop, Router</t>
  </si>
  <si>
    <t>ORD-20240354</t>
  </si>
  <si>
    <t>Laptop, Speaker, External Hard Drive, Smartphone</t>
  </si>
  <si>
    <t>ORD-20240355</t>
  </si>
  <si>
    <t>Laptop, Desk Lamp, Tablet</t>
  </si>
  <si>
    <t>ORD-20240356</t>
  </si>
  <si>
    <t>Printer, Speaker, Webcam</t>
  </si>
  <si>
    <t>ORD-20240357</t>
  </si>
  <si>
    <t>Printer, Projector, Webcam, Router</t>
  </si>
  <si>
    <t>ORD-20240358</t>
  </si>
  <si>
    <t>Webcam, Desk Lamp, Mouse, Router</t>
  </si>
  <si>
    <t>ORD-20240359</t>
  </si>
  <si>
    <t>Smart Watch, Smartphone, Monitor, Keyboard</t>
  </si>
  <si>
    <t>ORD-20240360</t>
  </si>
  <si>
    <t>Projector, Keyboard, Webcam</t>
  </si>
  <si>
    <t>ORD-20240361</t>
  </si>
  <si>
    <t>Speaker, Smart Watch, Desk Chair, Tablet</t>
  </si>
  <si>
    <t>ORD-20240362</t>
  </si>
  <si>
    <t>2024-02-16</t>
  </si>
  <si>
    <t>Smartphone, Router, Printer, Laptop, Headphones</t>
  </si>
  <si>
    <t>ORD-20240363</t>
  </si>
  <si>
    <t>Monitor, Tablet, External Hard Drive, Printer, Keyboard</t>
  </si>
  <si>
    <t>ORD-20240364</t>
  </si>
  <si>
    <t>Projector, Mouse, Tablet</t>
  </si>
  <si>
    <t>ORD-20240365</t>
  </si>
  <si>
    <t>Projector, Tablet, Smartphone, Mouse</t>
  </si>
  <si>
    <t>ORD-20240366</t>
  </si>
  <si>
    <t>Printer, External Hard Drive, Speaker, Smart Watch</t>
  </si>
  <si>
    <t>ORD-20240367</t>
  </si>
  <si>
    <t>2024-01-12</t>
  </si>
  <si>
    <t>Keyboard, Smartphone, Projector, Printer</t>
  </si>
  <si>
    <t>ORD-20240368</t>
  </si>
  <si>
    <t>Mouse, Monitor, Desk Lamp, Smart Watch</t>
  </si>
  <si>
    <t>ORD-20240369</t>
  </si>
  <si>
    <t>Router, Headphones, Monitor, Laptop</t>
  </si>
  <si>
    <t>ORD-20240370</t>
  </si>
  <si>
    <t>External Hard Drive, Speaker, Webcam, Keyboard</t>
  </si>
  <si>
    <t>ORD-20240371</t>
  </si>
  <si>
    <t>Monitor, Desk Lamp, Smart Watch, Tablet</t>
  </si>
  <si>
    <t>ORD-20240372</t>
  </si>
  <si>
    <t>2024-03-13</t>
  </si>
  <si>
    <t>Tablet, Router, Desk Chair, External Hard Drive</t>
  </si>
  <si>
    <t>ORD-20240373</t>
  </si>
  <si>
    <t>Laptop, Desk Lamp, External Hard Drive</t>
  </si>
  <si>
    <t>ORD-20240374</t>
  </si>
  <si>
    <t>2024-01-20</t>
  </si>
  <si>
    <t>Desk Lamp, Router, Keyboard, Laptop, External Hard Drive</t>
  </si>
  <si>
    <t>ORD-20240375</t>
  </si>
  <si>
    <t>Desk Chair, Monitor, External Hard Drive, Speaker, Projector</t>
  </si>
  <si>
    <t>ORD-20240376</t>
  </si>
  <si>
    <t>Smartphone, Projector, Mouse, Headphones</t>
  </si>
  <si>
    <t>ORD-20240377</t>
  </si>
  <si>
    <t>Router, Smartphone, Smart Watch, Projector</t>
  </si>
  <si>
    <t>ORD-20240378</t>
  </si>
  <si>
    <t>Keyboard, Printer, Smart Watch, Speaker, Tablet</t>
  </si>
  <si>
    <t>ORD-20240379</t>
  </si>
  <si>
    <t>Speaker, Headphones, Desk Lamp</t>
  </si>
  <si>
    <t>ORD-20240380</t>
  </si>
  <si>
    <t>Laptop, Speaker, External Hard Drive</t>
  </si>
  <si>
    <t>ORD-20240381</t>
  </si>
  <si>
    <t>Projector, Desk Lamp, Tablet, Smart Watch, Speaker</t>
  </si>
  <si>
    <t>ORD-20240382</t>
  </si>
  <si>
    <t>Webcam, Speaker, Router, Projector</t>
  </si>
  <si>
    <t>ORD-20240383</t>
  </si>
  <si>
    <t>Smartphone, Smart Watch, Headphones, Router, Monitor</t>
  </si>
  <si>
    <t>ORD-20240384</t>
  </si>
  <si>
    <t>2024-07-02</t>
  </si>
  <si>
    <t>Mouse, Projector, Keyboard, Monitor, Webcam</t>
  </si>
  <si>
    <t>ORD-20240385</t>
  </si>
  <si>
    <t>2024-04-04</t>
  </si>
  <si>
    <t>Speaker, Keyboard, Tablet, Router, Monitor</t>
  </si>
  <si>
    <t>ORD-20240386</t>
  </si>
  <si>
    <t>Monitor, Mouse, Tablet, Webcam</t>
  </si>
  <si>
    <t>ORD-20240387</t>
  </si>
  <si>
    <t>Mouse, Tablet, Speaker</t>
  </si>
  <si>
    <t>ORD-20240388</t>
  </si>
  <si>
    <t>Desk Lamp, Router, Desk Chair, Laptop, Speaker</t>
  </si>
  <si>
    <t>ORD-20240389</t>
  </si>
  <si>
    <t>Smart Watch, Desk Lamp, Printer, Mouse</t>
  </si>
  <si>
    <t>ORD-20240390</t>
  </si>
  <si>
    <t>Projector, External Hard Drive, Printer, Monitor, Webcam</t>
  </si>
  <si>
    <t>ORD-20240391</t>
  </si>
  <si>
    <t>2024-06-15</t>
  </si>
  <si>
    <t>Printer, External Hard Drive, Tablet, Monitor</t>
  </si>
  <si>
    <t>ORD-20240392</t>
  </si>
  <si>
    <t>Mouse, Desk Lamp, Smart Watch, Laptop</t>
  </si>
  <si>
    <t>ORD-20240393</t>
  </si>
  <si>
    <t>Keyboard, Tablet, Smartphone, Speaker, Projector</t>
  </si>
  <si>
    <t>ORD-20240394</t>
  </si>
  <si>
    <t>Mouse, Tablet, Desk Lamp, Router, Laptop</t>
  </si>
  <si>
    <t>ORD-20240395</t>
  </si>
  <si>
    <t>Printer, Desk Chair, Smartphone</t>
  </si>
  <si>
    <t>ORD-20240396</t>
  </si>
  <si>
    <t>Monitor, Keyboard, Tablet</t>
  </si>
  <si>
    <t>ORD-20240397</t>
  </si>
  <si>
    <t>Mouse, Monitor, Router</t>
  </si>
  <si>
    <t>ORD-20240398</t>
  </si>
  <si>
    <t>2024-09-05</t>
  </si>
  <si>
    <t>Laptop, External Hard Drive, Projector</t>
  </si>
  <si>
    <t>ORD-20240399</t>
  </si>
  <si>
    <t>Printer, Laptop, Desk Lamp, Headphones</t>
  </si>
  <si>
    <t>ORD-20240400</t>
  </si>
  <si>
    <t>2024-08-13</t>
  </si>
  <si>
    <t>Headphones, Mouse, Projector, Smartphone, Keyboard</t>
  </si>
  <si>
    <t>ORD-20240401</t>
  </si>
  <si>
    <t>Desk Chair, Keyboard, Smartphone</t>
  </si>
  <si>
    <t>ORD-20240402</t>
  </si>
  <si>
    <t>Desk Chair, Printer, Smart Watch, Keyboard, Webcam</t>
  </si>
  <si>
    <t>ORD-20240403</t>
  </si>
  <si>
    <t>Desk Lamp, Laptop, Desk Chair, Printer</t>
  </si>
  <si>
    <t>ORD-20240404</t>
  </si>
  <si>
    <t>Mouse, Smartphone, Desk Chair</t>
  </si>
  <si>
    <t>ORD-20240405</t>
  </si>
  <si>
    <t>Keyboard, Smartphone, Tablet, Monitor</t>
  </si>
  <si>
    <t>ORD-20240406</t>
  </si>
  <si>
    <t>Keyboard, Smartphone, Desk Lamp</t>
  </si>
  <si>
    <t>ORD-20240407</t>
  </si>
  <si>
    <t>Laptop, Router, Smartphone</t>
  </si>
  <si>
    <t>ORD-20240408</t>
  </si>
  <si>
    <t>Router, Keyboard, Desk Chair</t>
  </si>
  <si>
    <t>ORD-20240409</t>
  </si>
  <si>
    <t>Desk Lamp, Desk Chair, Smartphone</t>
  </si>
  <si>
    <t>ORD-20240410</t>
  </si>
  <si>
    <t>Router, Keyboard, Desk Chair, Smartphone, Webcam</t>
  </si>
  <si>
    <t>ORD-20240411</t>
  </si>
  <si>
    <t>2024-10-30</t>
  </si>
  <si>
    <t>External Hard Drive, Speaker, Desk Chair, Printer, Headphones</t>
  </si>
  <si>
    <t>ORD-20240412</t>
  </si>
  <si>
    <t>2024-12-03</t>
  </si>
  <si>
    <t>Smartphone, Speaker, Keyboard, Mouse, External Hard Drive</t>
  </si>
  <si>
    <t>ORD-20240413</t>
  </si>
  <si>
    <t>2024-08-04</t>
  </si>
  <si>
    <t>Laptop, Printer, Desk Chair, Keyboard</t>
  </si>
  <si>
    <t>ORD-20240414</t>
  </si>
  <si>
    <t>Projector, Monitor, Smartphone</t>
  </si>
  <si>
    <t>ORD-20240415</t>
  </si>
  <si>
    <t>Smartphone, Headphones, Desk Chair, Speaker, Monitor</t>
  </si>
  <si>
    <t>ORD-20240416</t>
  </si>
  <si>
    <t>Speaker, Smartphone, Router, Laptop, Smart Watch</t>
  </si>
  <si>
    <t>ORD-20240417</t>
  </si>
  <si>
    <t>Printer, Monitor, Projector, Laptop</t>
  </si>
  <si>
    <t>ORD-20240418</t>
  </si>
  <si>
    <t>2024-05-07</t>
  </si>
  <si>
    <t>Keyboard, Monitor, Headphones, External Hard Drive</t>
  </si>
  <si>
    <t>ORD-20240419</t>
  </si>
  <si>
    <t>Desk Chair, External Hard Drive, Webcam, Desk Lamp</t>
  </si>
  <si>
    <t>ORD-20240420</t>
  </si>
  <si>
    <t>2024-03-10</t>
  </si>
  <si>
    <t>External Hard Drive, Projector, Mouse, Router, Monitor</t>
  </si>
  <si>
    <t>ORD-20240421</t>
  </si>
  <si>
    <t>2024-04-22</t>
  </si>
  <si>
    <t>Headphones, Desk Lamp, Projector</t>
  </si>
  <si>
    <t>ORD-20240422</t>
  </si>
  <si>
    <t>Printer, External Hard Drive, Monitor</t>
  </si>
  <si>
    <t>ORD-20240423</t>
  </si>
  <si>
    <t>2024-01-22</t>
  </si>
  <si>
    <t>Desk Chair, Smart Watch, Mouse, Speaker, Laptop</t>
  </si>
  <si>
    <t>ORD-20240424</t>
  </si>
  <si>
    <t>2024-09-03</t>
  </si>
  <si>
    <t>Speaker, Laptop, Desk Chair, Webcam, Headphones</t>
  </si>
  <si>
    <t>ORD-20240425</t>
  </si>
  <si>
    <t>Projector, Router, Keyboard, Desk Chair</t>
  </si>
  <si>
    <t>ORD-20240426</t>
  </si>
  <si>
    <t>Headphones, Printer, Keyboard</t>
  </si>
  <si>
    <t>ORD-20240427</t>
  </si>
  <si>
    <t>Mouse, Tablet, Webcam, Laptop, Smartphone</t>
  </si>
  <si>
    <t>ORD-20240428</t>
  </si>
  <si>
    <t>Monitor, Smartphone, Speaker, Projector</t>
  </si>
  <si>
    <t>ORD-20240429</t>
  </si>
  <si>
    <t>2024-01-26</t>
  </si>
  <si>
    <t>Smart Watch, Monitor, Projector, Smartphone</t>
  </si>
  <si>
    <t>ORD-20240430</t>
  </si>
  <si>
    <t>Monitor, Mouse, Desk Chair</t>
  </si>
  <si>
    <t>ORD-20240431</t>
  </si>
  <si>
    <t>Mouse, Webcam, Keyboard, Smartphone</t>
  </si>
  <si>
    <t>ORD-20240432</t>
  </si>
  <si>
    <t>Desk Lamp, Smart Watch, Mouse, Desk Chair, Projector</t>
  </si>
  <si>
    <t>ORD-20240433</t>
  </si>
  <si>
    <t>Monitor, Laptop, Desk Lamp</t>
  </si>
  <si>
    <t>ORD-20240434</t>
  </si>
  <si>
    <t>Keyboard, Desk Chair, Printer, Mouse, Speaker</t>
  </si>
  <si>
    <t>ORD-20240435</t>
  </si>
  <si>
    <t>2024-03-11</t>
  </si>
  <si>
    <t>ORD-20240436</t>
  </si>
  <si>
    <t>2024-09-08</t>
  </si>
  <si>
    <t>Speaker, Printer, Tablet, Projector, External Hard Drive</t>
  </si>
  <si>
    <t>ORD-20240437</t>
  </si>
  <si>
    <t>Smart Watch, Keyboard, Tablet, Printer</t>
  </si>
  <si>
    <t>ORD-20240438</t>
  </si>
  <si>
    <t>Smart Watch, Monitor, Speaker, Smartphone, Router</t>
  </si>
  <si>
    <t>ORD-20240439</t>
  </si>
  <si>
    <t>Router, Desk Lamp, Monitor, Speaker, Laptop</t>
  </si>
  <si>
    <t>ORD-20240440</t>
  </si>
  <si>
    <t>2024-09-11</t>
  </si>
  <si>
    <t>Smart Watch, Mouse, Desk Lamp, Headphones</t>
  </si>
  <si>
    <t>ORD-20240441</t>
  </si>
  <si>
    <t>Smartphone, Desk Chair, Tablet, Router, Smart Watch</t>
  </si>
  <si>
    <t>ORD-20240442</t>
  </si>
  <si>
    <t>Router, Smart Watch, Laptop, External Hard Drive, Desk Lamp</t>
  </si>
  <si>
    <t>ORD-20240443</t>
  </si>
  <si>
    <t>Keyboard, Smartphone, Desk Chair</t>
  </si>
  <si>
    <t>ORD-20240444</t>
  </si>
  <si>
    <t>2024-12-05</t>
  </si>
  <si>
    <t>Router, Printer, Tablet</t>
  </si>
  <si>
    <t>ORD-20240445</t>
  </si>
  <si>
    <t>Laptop, Webcam, Speaker, Printer, Router</t>
  </si>
  <si>
    <t>ORD-20240446</t>
  </si>
  <si>
    <t>Webcam, Speaker, Desk Lamp</t>
  </si>
  <si>
    <t>ORD-20240447</t>
  </si>
  <si>
    <t>External Hard Drive, Keyboard, Router, Smart Watch, Smartphone</t>
  </si>
  <si>
    <t>ORD-20240448</t>
  </si>
  <si>
    <t>2024-05-14</t>
  </si>
  <si>
    <t>Webcam, Headphones, External Hard Drive</t>
  </si>
  <si>
    <t>ORD-20240449</t>
  </si>
  <si>
    <t>Smartphone, Speaker, Desk Lamp, Tablet, Desk Chair</t>
  </si>
  <si>
    <t>ORD-20240450</t>
  </si>
  <si>
    <t>2024-06-07</t>
  </si>
  <si>
    <t>2024-06-21</t>
  </si>
  <si>
    <t>External Hard Drive, Mouse, Projector, Laptop, Desk Chair</t>
  </si>
  <si>
    <t>ORD-20240451</t>
  </si>
  <si>
    <t>Keyboard, Projector, Headphones, Tablet</t>
  </si>
  <si>
    <t>ORD-20240452</t>
  </si>
  <si>
    <t>2024-08-12</t>
  </si>
  <si>
    <t>Desk Chair, Smartphone, Webcam, Router</t>
  </si>
  <si>
    <t>ORD-20240453</t>
  </si>
  <si>
    <t>Monitor, External Hard Drive, Printer, Projector, Router</t>
  </si>
  <si>
    <t>ORD-20240454</t>
  </si>
  <si>
    <t>Smart Watch, Headphones, Printer, Laptop</t>
  </si>
  <si>
    <t>ORD-20240455</t>
  </si>
  <si>
    <t>Desk Lamp, Mouse, External Hard Drive</t>
  </si>
  <si>
    <t>ORD-20240456</t>
  </si>
  <si>
    <t>Webcam, Headphones, Mouse</t>
  </si>
  <si>
    <t>ORD-20240457</t>
  </si>
  <si>
    <t>Webcam, Projector, Printer, Keyboard, Headphones</t>
  </si>
  <si>
    <t>ORD-20240458</t>
  </si>
  <si>
    <t>Printer, Projector, Speaker</t>
  </si>
  <si>
    <t>ORD-20240459</t>
  </si>
  <si>
    <t>Projector, Webcam, Printer</t>
  </si>
  <si>
    <t>ORD-20240460</t>
  </si>
  <si>
    <t>Projector, Smart Watch, Desk Lamp, Headphones</t>
  </si>
  <si>
    <t>ORD-20240461</t>
  </si>
  <si>
    <t>Smartphone, External Hard Drive, Smart Watch</t>
  </si>
  <si>
    <t>ORD-20240462</t>
  </si>
  <si>
    <t>Smart Watch, Printer, Headphones</t>
  </si>
  <si>
    <t>ORD-20240463</t>
  </si>
  <si>
    <t>Laptop, External Hard Drive, Desk Lamp, Printer, Smartphone</t>
  </si>
  <si>
    <t>ORD-20240464</t>
  </si>
  <si>
    <t>2024-03-25</t>
  </si>
  <si>
    <t>External Hard Drive, Speaker, Headphones, Laptop, Tablet</t>
  </si>
  <si>
    <t>ORD-20240465</t>
  </si>
  <si>
    <t>2024-10-26</t>
  </si>
  <si>
    <t>2024-11-09</t>
  </si>
  <si>
    <t>Printer, Router, Keyboard, External Hard Drive, Webcam</t>
  </si>
  <si>
    <t>ORD-20240466</t>
  </si>
  <si>
    <t>2024-01-14</t>
  </si>
  <si>
    <t>Router, Desk Lamp, Mouse, Smartphone</t>
  </si>
  <si>
    <t>ORD-20240467</t>
  </si>
  <si>
    <t>Tablet, Keyboard, Webcam</t>
  </si>
  <si>
    <t>ORD-20240468</t>
  </si>
  <si>
    <t>Projector, Laptop, Desk Chair, Headphones</t>
  </si>
  <si>
    <t>ORD-20240469</t>
  </si>
  <si>
    <t>Printer, Smartphone, Headphones</t>
  </si>
  <si>
    <t>ORD-20240470</t>
  </si>
  <si>
    <t>Keyboard, Projector, Desk Lamp, Tablet, Desk Chair</t>
  </si>
  <si>
    <t>ORD-20240471</t>
  </si>
  <si>
    <t>Desk Lamp, Laptop, Keyboard, External Hard Drive, Desk Chair</t>
  </si>
  <si>
    <t>ORD-20240472</t>
  </si>
  <si>
    <t>2024-06-28</t>
  </si>
  <si>
    <t>Mouse, Monitor, Laptop, Projector</t>
  </si>
  <si>
    <t>ORD-20240473</t>
  </si>
  <si>
    <t>Desk Lamp, Smart Watch, Webcam, Monitor</t>
  </si>
  <si>
    <t>ORD-20240474</t>
  </si>
  <si>
    <t>Speaker, Tablet, Printer, Headphones, Desk Chair</t>
  </si>
  <si>
    <t>ORD-20240475</t>
  </si>
  <si>
    <t>Router, Printer, Headphones, Smart Watch, Speaker</t>
  </si>
  <si>
    <t>ORD-20240476</t>
  </si>
  <si>
    <t>Mouse, Webcam, Smartphone, Headphones</t>
  </si>
  <si>
    <t>ORD-20240477</t>
  </si>
  <si>
    <t>2024-06-29</t>
  </si>
  <si>
    <t>Smartphone, External Hard Drive, Keyboard, Desk Chair</t>
  </si>
  <si>
    <t>ORD-20240478</t>
  </si>
  <si>
    <t>Speaker, Monitor, Router, Headphones</t>
  </si>
  <si>
    <t>ORD-20240479</t>
  </si>
  <si>
    <t>Desk Chair, Speaker, Mouse, Laptop</t>
  </si>
  <si>
    <t>ORD-20240480</t>
  </si>
  <si>
    <t>Desk Chair, Keyboard, Speaker</t>
  </si>
  <si>
    <t>ORD-20240481</t>
  </si>
  <si>
    <t>Keyboard, Mouse, Tablet, External Hard Drive, Desk Lamp</t>
  </si>
  <si>
    <t>ORD-20240482</t>
  </si>
  <si>
    <t>Desk Lamp, Speaker, Headphones</t>
  </si>
  <si>
    <t>ORD-20240483</t>
  </si>
  <si>
    <t>Tablet, Desk Lamp, Printer, External Hard Drive, Smart Watch</t>
  </si>
  <si>
    <t>ORD-20240484</t>
  </si>
  <si>
    <t>Keyboard, External Hard Drive, Projector</t>
  </si>
  <si>
    <t>ORD-20240485</t>
  </si>
  <si>
    <t>Desk Lamp, Desk Chair, Speaker, External Hard Drive, Webcam</t>
  </si>
  <si>
    <t>ORD-20240486</t>
  </si>
  <si>
    <t>Monitor, Desk Lamp, Mouse, Projector, Router</t>
  </si>
  <si>
    <t>ORD-20240487</t>
  </si>
  <si>
    <t>Headphones, Speaker, External Hard Drive, Printer, Smart Watch</t>
  </si>
  <si>
    <t>ORD-20240488</t>
  </si>
  <si>
    <t>Smartphone, Laptop, Monitor, Smart Watch, Desk Lamp</t>
  </si>
  <si>
    <t>ORD-20240489</t>
  </si>
  <si>
    <t>Router, Webcam, Printer</t>
  </si>
  <si>
    <t>ORD-20240490</t>
  </si>
  <si>
    <t>Desk Chair, External Hard Drive, Printer, Laptop</t>
  </si>
  <si>
    <t>ORD-20240491</t>
  </si>
  <si>
    <t>Router, Smartphone, Webcam</t>
  </si>
  <si>
    <t>ORD-20240492</t>
  </si>
  <si>
    <t>External Hard Drive, Headphones, Printer</t>
  </si>
  <si>
    <t>ORD-20240493</t>
  </si>
  <si>
    <t>Smart Watch, External Hard Drive, Speaker, Headphones, Desk Chair</t>
  </si>
  <si>
    <t>ORD-20240494</t>
  </si>
  <si>
    <t>Headphones, Speaker, Desk Lamp, Printer, Laptop</t>
  </si>
  <si>
    <t>ORD-20240495</t>
  </si>
  <si>
    <t>Router, Headphones, Smartphone, Monitor</t>
  </si>
  <si>
    <t>ORD-20240496</t>
  </si>
  <si>
    <t>Keyboard, Laptop, Smart Watch</t>
  </si>
  <si>
    <t>ORD-20240497</t>
  </si>
  <si>
    <t>Tablet, Desk Lamp, Smartphone, Webcam, Router</t>
  </si>
  <si>
    <t>ORD-20240498</t>
  </si>
  <si>
    <t>External Hard Drive, Smart Watch, Keyboard</t>
  </si>
  <si>
    <t>ORD-20240499</t>
  </si>
  <si>
    <t>Router, External Hard Drive, Tablet, Projector, Printer</t>
  </si>
  <si>
    <t>ORD-20240500</t>
  </si>
  <si>
    <t>Router, Speaker, Webcam, Desk Chair</t>
  </si>
  <si>
    <t>ORD-20240501</t>
  </si>
  <si>
    <t>Headphones, Keyboard, Tablet</t>
  </si>
  <si>
    <t>ORD-20240502</t>
  </si>
  <si>
    <t>Speaker, Smartphone, Smart Watch, External Hard Drive, Tablet</t>
  </si>
  <si>
    <t>ORD-20240503</t>
  </si>
  <si>
    <t>Webcam, Laptop, Speaker, Projector, Desk Lamp</t>
  </si>
  <si>
    <t>ORD-20240504</t>
  </si>
  <si>
    <t>Tablet, Printer, Webcam, Keyboard, Smartphone</t>
  </si>
  <si>
    <t>ORD-20240505</t>
  </si>
  <si>
    <t>Keyboard, Desk Lamp, Tablet, Webcam, Router</t>
  </si>
  <si>
    <t>ORD-20240506</t>
  </si>
  <si>
    <t>2024-02-25</t>
  </si>
  <si>
    <t>Printer, Monitor, Mouse, Speaker</t>
  </si>
  <si>
    <t>ORD-20240507</t>
  </si>
  <si>
    <t>Monitor, Printer, Smart Watch, Mouse</t>
  </si>
  <si>
    <t>ORD-20240508</t>
  </si>
  <si>
    <t>2024-07-17</t>
  </si>
  <si>
    <t>Webcam, Projector, Keyboard, Mouse, Desk Chair</t>
  </si>
  <si>
    <t>ORD-20240509</t>
  </si>
  <si>
    <t>Smart Watch, Monitor, Desk Lamp, Projector</t>
  </si>
  <si>
    <t>ORD-20240510</t>
  </si>
  <si>
    <t>Desk Chair, Smartphone, Webcam</t>
  </si>
  <si>
    <t>ORD-20240511</t>
  </si>
  <si>
    <t>External Hard Drive, Desk Chair, Laptop</t>
  </si>
  <si>
    <t>ORD-20240512</t>
  </si>
  <si>
    <t>Desk Lamp, Laptop, External Hard Drive</t>
  </si>
  <si>
    <t>ORD-20240513</t>
  </si>
  <si>
    <t>Laptop, Projector, Smartphone, Smart Watch</t>
  </si>
  <si>
    <t>ORD-20240514</t>
  </si>
  <si>
    <t>Printer, Laptop, Monitor, Router</t>
  </si>
  <si>
    <t>ORD-20240515</t>
  </si>
  <si>
    <t>Headphones, Projector, Laptop, Speaker</t>
  </si>
  <si>
    <t>ORD-20240516</t>
  </si>
  <si>
    <t>ORD-20240517</t>
  </si>
  <si>
    <t>Laptop, External Hard Drive, Printer, Mouse</t>
  </si>
  <si>
    <t>ORD-20240518</t>
  </si>
  <si>
    <t>Headphones, Laptop, Keyboard, Speaker</t>
  </si>
  <si>
    <t>ORD-20240519</t>
  </si>
  <si>
    <t>Smartphone, Smart Watch, Router</t>
  </si>
  <si>
    <t>ORD-20240520</t>
  </si>
  <si>
    <t>Laptop, Projector, Printer</t>
  </si>
  <si>
    <t>ORD-20240521</t>
  </si>
  <si>
    <t>2024-01-30</t>
  </si>
  <si>
    <t>Webcam, Laptop, Desk Chair, External Hard Drive</t>
  </si>
  <si>
    <t>ORD-20240522</t>
  </si>
  <si>
    <t>Desk Lamp, Desk Chair, Smart Watch</t>
  </si>
  <si>
    <t>ORD-20240523</t>
  </si>
  <si>
    <t>Desk Chair, Laptop, External Hard Drive</t>
  </si>
  <si>
    <t>ORD-20240524</t>
  </si>
  <si>
    <t>Tablet, Desk Chair, Projector, Headphones</t>
  </si>
  <si>
    <t>ORD-20240525</t>
  </si>
  <si>
    <t>Projector, Webcam, Tablet, Speaker, Mouse</t>
  </si>
  <si>
    <t>ORD-20240526</t>
  </si>
  <si>
    <t>Headphones, Smartphone, Monitor, Printer</t>
  </si>
  <si>
    <t>ORD-20240527</t>
  </si>
  <si>
    <t>Laptop, Monitor, External Hard Drive</t>
  </si>
  <si>
    <t>ORD-20240528</t>
  </si>
  <si>
    <t>Desk Lamp, Desk Chair, External Hard Drive</t>
  </si>
  <si>
    <t>ORD-20240529</t>
  </si>
  <si>
    <t>Smart Watch, Projector, Router</t>
  </si>
  <si>
    <t>ORD-20240530</t>
  </si>
  <si>
    <t>ORD-20240531</t>
  </si>
  <si>
    <t>Laptop, Projector, External Hard Drive, Smart Watch</t>
  </si>
  <si>
    <t>ORD-20240532</t>
  </si>
  <si>
    <t>Smartphone, Projector, Mouse</t>
  </si>
  <si>
    <t>ORD-20240533</t>
  </si>
  <si>
    <t>Printer, Desk Chair, External Hard Drive, Smart Watch</t>
  </si>
  <si>
    <t>ORD-20240534</t>
  </si>
  <si>
    <t>Webcam, Laptop, Desk Chair, Mouse, Desk Lamp</t>
  </si>
  <si>
    <t>ORD-20240535</t>
  </si>
  <si>
    <t>Mouse, Keyboard, Projector, Printer</t>
  </si>
  <si>
    <t>ORD-20240536</t>
  </si>
  <si>
    <t>Router, Headphones, External Hard Drive</t>
  </si>
  <si>
    <t>ORD-20240537</t>
  </si>
  <si>
    <t>Tablet, Smart Watch, Smartphone, External Hard Drive</t>
  </si>
  <si>
    <t>ORD-20240538</t>
  </si>
  <si>
    <t>Projector, Keyboard, Desk Lamp, Monitor, Router</t>
  </si>
  <si>
    <t>ORD-20240539</t>
  </si>
  <si>
    <t>Monitor, Desk Chair, Tablet, Projector</t>
  </si>
  <si>
    <t>ORD-20240540</t>
  </si>
  <si>
    <t>Mouse, Router, Headphones, Smart Watch</t>
  </si>
  <si>
    <t>ORD-20240541</t>
  </si>
  <si>
    <t>Keyboard, Mouse, Headphones, Laptop, Speaker</t>
  </si>
  <si>
    <t>ORD-20240542</t>
  </si>
  <si>
    <t>Mouse, Headphones, Router, External Hard Drive, Speaker</t>
  </si>
  <si>
    <t>ORD-20240543</t>
  </si>
  <si>
    <t>Speaker, Mouse, Router</t>
  </si>
  <si>
    <t>ORD-20240544</t>
  </si>
  <si>
    <t>Desk Lamp, Smart Watch, Mouse, Router</t>
  </si>
  <si>
    <t>ORD-20240545</t>
  </si>
  <si>
    <t>External Hard Drive, Keyboard, Webcam</t>
  </si>
  <si>
    <t>ORD-20240546</t>
  </si>
  <si>
    <t>Monitor, Mouse, Headphones, Smart Watch, Speaker</t>
  </si>
  <si>
    <t>ORD-20240547</t>
  </si>
  <si>
    <t>Router, Webcam, Smart Watch, Printer</t>
  </si>
  <si>
    <t>ORD-20240548</t>
  </si>
  <si>
    <t>Webcam, Mouse, Desk Lamp</t>
  </si>
  <si>
    <t>ORD-20240549</t>
  </si>
  <si>
    <t>2024-10-14</t>
  </si>
  <si>
    <t>Keyboard, Router, Webcam</t>
  </si>
  <si>
    <t>ORD-20240550</t>
  </si>
  <si>
    <t>Mouse, Webcam, Laptop, Desk Chair, Printer</t>
  </si>
  <si>
    <t>ORD-20240551</t>
  </si>
  <si>
    <t>Monitor, Speaker, Headphones, Tablet, Router</t>
  </si>
  <si>
    <t>ORD-20240552</t>
  </si>
  <si>
    <t>Monitor, Desk Chair, Smart Watch, Speaker, Webcam</t>
  </si>
  <si>
    <t>ORD-20240553</t>
  </si>
  <si>
    <t>Smart Watch, Speaker, External Hard Drive, Projector</t>
  </si>
  <si>
    <t>ORD-20240554</t>
  </si>
  <si>
    <t>2024-02-09</t>
  </si>
  <si>
    <t>Laptop, Keyboard, Speaker, Projector, Monitor</t>
  </si>
  <si>
    <t>ORD-20240555</t>
  </si>
  <si>
    <t>Smartphone, Tablet, Headphones, Printer</t>
  </si>
  <si>
    <t>ORD-20240556</t>
  </si>
  <si>
    <t>Headphones, Speaker, Desk Chair, Smartphone</t>
  </si>
  <si>
    <t>ORD-20240557</t>
  </si>
  <si>
    <t>Smart Watch, Router, Desk Chair, Printer</t>
  </si>
  <si>
    <t>ORD-20240558</t>
  </si>
  <si>
    <t>Laptop, Monitor, Router, Mouse</t>
  </si>
  <si>
    <t>ORD-20240559</t>
  </si>
  <si>
    <t>Tablet, External Hard Drive, Desk Lamp, Printer</t>
  </si>
  <si>
    <t>ORD-20240560</t>
  </si>
  <si>
    <t>Smartphone, Mouse, Desk Chair, Monitor</t>
  </si>
  <si>
    <t>ORD-20240561</t>
  </si>
  <si>
    <t>Smart Watch, Webcam, Keyboard, Headphones</t>
  </si>
  <si>
    <t>ORD-20240562</t>
  </si>
  <si>
    <t>Mouse, External Hard Drive, Keyboard</t>
  </si>
  <si>
    <t>ORD-20240563</t>
  </si>
  <si>
    <t>Smart Watch, Mouse, Speaker, Tablet</t>
  </si>
  <si>
    <t>ORD-20240564</t>
  </si>
  <si>
    <t>Speaker, Laptop, Smartphone, Router</t>
  </si>
  <si>
    <t>ORD-20240565</t>
  </si>
  <si>
    <t>Headphones, Webcam, Desk Chair, External Hard Drive, Laptop</t>
  </si>
  <si>
    <t>ORD-20240566</t>
  </si>
  <si>
    <t>Monitor, Printer, Desk Chair, Webcam, Desk Lamp</t>
  </si>
  <si>
    <t>ORD-20240567</t>
  </si>
  <si>
    <t>External Hard Drive, Laptop, Printer</t>
  </si>
  <si>
    <t>ORD-20240568</t>
  </si>
  <si>
    <t>Tablet, Printer, Smart Watch, Router, Keyboard</t>
  </si>
  <si>
    <t>ORD-20240569</t>
  </si>
  <si>
    <t>Printer, External Hard Drive, Desk Chair, Smart Watch</t>
  </si>
  <si>
    <t>ORD-20240570</t>
  </si>
  <si>
    <t>Printer, Projector, External Hard Drive, Router</t>
  </si>
  <si>
    <t>ORD-20240571</t>
  </si>
  <si>
    <t>Desk Lamp, Keyboard, Smart Watch, Router, Headphones</t>
  </si>
  <si>
    <t>ORD-20240572</t>
  </si>
  <si>
    <t>2024-02-04</t>
  </si>
  <si>
    <t>ORD-20240573</t>
  </si>
  <si>
    <t>Mouse, Tablet, Desk Lamp, Router</t>
  </si>
  <si>
    <t>ORD-20240574</t>
  </si>
  <si>
    <t>Webcam, Headphones, Desk Lamp, Mouse, Smart Watch</t>
  </si>
  <si>
    <t>ORD-20240575</t>
  </si>
  <si>
    <t>Keyboard, Headphones, Smartphone, Smart Watch, Speaker</t>
  </si>
  <si>
    <t>ORD-20240576</t>
  </si>
  <si>
    <t>Laptop, Router, Webcam, Projector</t>
  </si>
  <si>
    <t>ORD-20240577</t>
  </si>
  <si>
    <t>Speaker, Printer, Smart Watch, Desk Chair, Desk Lamp</t>
  </si>
  <si>
    <t>ORD-20240578</t>
  </si>
  <si>
    <t>External Hard Drive, Smartphone, Mouse, Monitor</t>
  </si>
  <si>
    <t>ORD-20240579</t>
  </si>
  <si>
    <t>Desk Chair, External Hard Drive, Tablet, Monitor, Printer</t>
  </si>
  <si>
    <t>ORD-20240580</t>
  </si>
  <si>
    <t>Router, Projector, Desk Chair, Printer, Monitor</t>
  </si>
  <si>
    <t>ORD-20240581</t>
  </si>
  <si>
    <t>Smartphone, Speaker, Monitor</t>
  </si>
  <si>
    <t>ORD-20240582</t>
  </si>
  <si>
    <t>Smartphone, Router, Projector, Desk Lamp, Desk Chair</t>
  </si>
  <si>
    <t>ORD-20240583</t>
  </si>
  <si>
    <t>Keyboard, Speaker, External Hard Drive, Webcam</t>
  </si>
  <si>
    <t>ORD-20240584</t>
  </si>
  <si>
    <t>Smart Watch, Router, Projector</t>
  </si>
  <si>
    <t>ORD-20240585</t>
  </si>
  <si>
    <t>Projector, External Hard Drive, Printer</t>
  </si>
  <si>
    <t>ORD-20240586</t>
  </si>
  <si>
    <t>Printer, Webcam, External Hard Drive</t>
  </si>
  <si>
    <t>ORD-20240587</t>
  </si>
  <si>
    <t>2024-11-27</t>
  </si>
  <si>
    <t>Laptop, Projector, Speaker, Tablet</t>
  </si>
  <si>
    <t>ORD-20240588</t>
  </si>
  <si>
    <t>Speaker, External Hard Drive, Laptop, Desk Chair, Printer</t>
  </si>
  <si>
    <t>ORD-20240589</t>
  </si>
  <si>
    <t>Tablet, Laptop, Desk Chair, Projector, Smart Watch</t>
  </si>
  <si>
    <t>ORD-20240590</t>
  </si>
  <si>
    <t>Desk Chair, Tablet, Desk Lamp</t>
  </si>
  <si>
    <t>ORD-20240591</t>
  </si>
  <si>
    <t>Keyboard, Desk Chair, Smartphone, Headphones</t>
  </si>
  <si>
    <t>ORD-20240592</t>
  </si>
  <si>
    <t>Desk Chair, Laptop, Projector, Speaker, Tablet</t>
  </si>
  <si>
    <t>ORD-20240593</t>
  </si>
  <si>
    <t>Tablet, Smartphone, Printer, Projector, Speaker</t>
  </si>
  <si>
    <t>ORD-20240594</t>
  </si>
  <si>
    <t>Desk Chair, External Hard Drive, Projector</t>
  </si>
  <si>
    <t>ORD-20240595</t>
  </si>
  <si>
    <t>Projector, Laptop, Tablet, Headphones</t>
  </si>
  <si>
    <t>ORD-20240596</t>
  </si>
  <si>
    <t>Headphones, Speaker, Mouse, Projector</t>
  </si>
  <si>
    <t>ORD-20240597</t>
  </si>
  <si>
    <t>Tablet, Router, Speaker, Desk Chair, Headphones</t>
  </si>
  <si>
    <t>ORD-20240598</t>
  </si>
  <si>
    <t>Projector, Keyboard, Headphones, Desk Lamp, Router</t>
  </si>
  <si>
    <t>ORD-20240599</t>
  </si>
  <si>
    <t>Smartphone, Monitor, Printer, Desk Lamp, Webcam</t>
  </si>
  <si>
    <t>ORD-20240600</t>
  </si>
  <si>
    <t>Router, Speaker, Webcam</t>
  </si>
  <si>
    <t>ORD-20240601</t>
  </si>
  <si>
    <t>Mouse, Printer, Monitor, Desk Chair, Webcam</t>
  </si>
  <si>
    <t>ORD-20240602</t>
  </si>
  <si>
    <t>Laptop, Tablet, Smartphone, Monitor</t>
  </si>
  <si>
    <t>ORD-20240603</t>
  </si>
  <si>
    <t>Tablet, Speaker, Webcam, Desk Lamp</t>
  </si>
  <si>
    <t>ORD-20240604</t>
  </si>
  <si>
    <t>Headphones, Laptop, External Hard Drive, Router, Desk Lamp</t>
  </si>
  <si>
    <t>ORD-20240605</t>
  </si>
  <si>
    <t>Keyboard, Mouse, Laptop, Smartphone</t>
  </si>
  <si>
    <t>ORD-20240606</t>
  </si>
  <si>
    <t>Projector, Desk Chair, Mouse</t>
  </si>
  <si>
    <t>ORD-20240607</t>
  </si>
  <si>
    <t>Headphones, Printer, Mouse, Webcam, Projector</t>
  </si>
  <si>
    <t>ORD-20240608</t>
  </si>
  <si>
    <t>Desk Lamp, Router, Monitor</t>
  </si>
  <si>
    <t>ORD-20240609</t>
  </si>
  <si>
    <t>Mouse, Printer, Keyboard, Smartphone, Laptop</t>
  </si>
  <si>
    <t>ORD-20240610</t>
  </si>
  <si>
    <t>Headphones, Router, Smart Watch, Projector</t>
  </si>
  <si>
    <t>ORD-20240611</t>
  </si>
  <si>
    <t>Keyboard, Smartphone, Smart Watch</t>
  </si>
  <si>
    <t>ORD-20240612</t>
  </si>
  <si>
    <t>Desk Lamp, Router, Desk Chair, External Hard Drive</t>
  </si>
  <si>
    <t>ORD-20240613</t>
  </si>
  <si>
    <t>External Hard Drive, Mouse, Keyboard, Desk Chair, Webcam</t>
  </si>
  <si>
    <t>ORD-20240614</t>
  </si>
  <si>
    <t>Smart Watch, Router, Laptop, External Hard Drive, Desk Lamp</t>
  </si>
  <si>
    <t>ORD-20240615</t>
  </si>
  <si>
    <t>Mouse, Keyboard, Printer, Webcam</t>
  </si>
  <si>
    <t>ORD-20240616</t>
  </si>
  <si>
    <t>Desk Lamp, Webcam, Projector, Smartphone</t>
  </si>
  <si>
    <t>ORD-20240617</t>
  </si>
  <si>
    <t>Headphones, Printer, Monitor</t>
  </si>
  <si>
    <t>ORD-20240618</t>
  </si>
  <si>
    <t>Desk Chair, Headphones, Tablet, Keyboard</t>
  </si>
  <si>
    <t>ORD-20240619</t>
  </si>
  <si>
    <t>Monitor, External Hard Drive, Headphones, Desk Chair, Speaker</t>
  </si>
  <si>
    <t>ORD-20240620</t>
  </si>
  <si>
    <t>Router, Webcam, Mouse</t>
  </si>
  <si>
    <t>ORD-20240621</t>
  </si>
  <si>
    <t>Laptop, Router, External Hard Drive, Desk Chair</t>
  </si>
  <si>
    <t>ORD-20240622</t>
  </si>
  <si>
    <t>Printer, Webcam, External Hard Drive, Headphones</t>
  </si>
  <si>
    <t>ORD-20240623</t>
  </si>
  <si>
    <t>Router, Smart Watch, Webcam, Laptop, Smartphone</t>
  </si>
  <si>
    <t>ORD-20240624</t>
  </si>
  <si>
    <t>Printer, Smartphone, External Hard Drive, Keyboard, Webcam</t>
  </si>
  <si>
    <t>ORD-20240625</t>
  </si>
  <si>
    <t>Monitor, Keyboard, Router</t>
  </si>
  <si>
    <t>ORD-20240626</t>
  </si>
  <si>
    <t>Router, Keyboard, Speaker</t>
  </si>
  <si>
    <t>ORD-20240627</t>
  </si>
  <si>
    <t>Speaker, Laptop, Tablet, Smart Watch</t>
  </si>
  <si>
    <t>ORD-20240628</t>
  </si>
  <si>
    <t>Printer, External Hard Drive, Smartphone</t>
  </si>
  <si>
    <t>ORD-20240629</t>
  </si>
  <si>
    <t>Headphones, Mouse, Tablet</t>
  </si>
  <si>
    <t>ORD-20240630</t>
  </si>
  <si>
    <t>Tablet, Monitor, Keyboard, Laptop</t>
  </si>
  <si>
    <t>ORD-20240631</t>
  </si>
  <si>
    <t>Projector, Keyboard, Monitor</t>
  </si>
  <si>
    <t>ORD-20240632</t>
  </si>
  <si>
    <t>Desk Lamp, External Hard Drive, Printer, Router, Webcam</t>
  </si>
  <si>
    <t>ORD-20240633</t>
  </si>
  <si>
    <t>2024-01-29</t>
  </si>
  <si>
    <t>Smartphone, Router, Smart Watch, Tablet, Laptop</t>
  </si>
  <si>
    <t>ORD-20240634</t>
  </si>
  <si>
    <t>Keyboard, Webcam, Headphones, Projector</t>
  </si>
  <si>
    <t>ORD-20240635</t>
  </si>
  <si>
    <t>Router, Webcam, Desk Lamp</t>
  </si>
  <si>
    <t>ORD-20240636</t>
  </si>
  <si>
    <t>Speaker, External Hard Drive, Monitor, Tablet, Headphones</t>
  </si>
  <si>
    <t>ORD-20240637</t>
  </si>
  <si>
    <t>Mouse, Headphones, External Hard Drive, Desk Chair, Keyboard</t>
  </si>
  <si>
    <t>ORD-20240638</t>
  </si>
  <si>
    <t>Tablet, Keyboard, Speaker</t>
  </si>
  <si>
    <t>ORD-20240639</t>
  </si>
  <si>
    <t>Smart Watch, Headphones, Desk Chair, Printer, External Hard Drive</t>
  </si>
  <si>
    <t>ORD-20240640</t>
  </si>
  <si>
    <t>Monitor, Mouse, Speaker</t>
  </si>
  <si>
    <t>ORD-20240641</t>
  </si>
  <si>
    <t>Printer, Monitor, Smart Watch, Desk Chair</t>
  </si>
  <si>
    <t>ORD-20240642</t>
  </si>
  <si>
    <t>Mouse, Projector, Desk Chair, Keyboard, Laptop</t>
  </si>
  <si>
    <t>ORD-20240643</t>
  </si>
  <si>
    <t>Tablet, Smart Watch, Webcam</t>
  </si>
  <si>
    <t>ORD-20240644</t>
  </si>
  <si>
    <t>Desk Lamp, Desk Chair, Projector, External Hard Drive</t>
  </si>
  <si>
    <t>ORD-20240645</t>
  </si>
  <si>
    <t>2024-04-18</t>
  </si>
  <si>
    <t>Router, Desk Chair, Webcam, Speaker</t>
  </si>
  <si>
    <t>ORD-20240646</t>
  </si>
  <si>
    <t>Smartphone, Projector, Desk Chair, Headphones</t>
  </si>
  <si>
    <t>ORD-20240647</t>
  </si>
  <si>
    <t>2024-04-13</t>
  </si>
  <si>
    <t>Monitor, Headphones, Mouse</t>
  </si>
  <si>
    <t>ORD-20240648</t>
  </si>
  <si>
    <t>ORD-20240649</t>
  </si>
  <si>
    <t>2024-08-02</t>
  </si>
  <si>
    <t>Desk Chair, External Hard Drive, Mouse, Speaker</t>
  </si>
  <si>
    <t>ORD-20240650</t>
  </si>
  <si>
    <t>Mouse, Smart Watch, Projector, Desk Lamp, Monitor</t>
  </si>
  <si>
    <t>ORD-20240651</t>
  </si>
  <si>
    <t>Laptop, Mouse, Keyboard</t>
  </si>
  <si>
    <t>ORD-20240652</t>
  </si>
  <si>
    <t>Headphones, External Hard Drive, Webcam, Tablet, Mouse</t>
  </si>
  <si>
    <t>ORD-20240653</t>
  </si>
  <si>
    <t>Speaker, Tablet, Headphones</t>
  </si>
  <si>
    <t>ORD-20240654</t>
  </si>
  <si>
    <t>Printer, Webcam, Keyboard, Desk Chair</t>
  </si>
  <si>
    <t>ORD-20240655</t>
  </si>
  <si>
    <t>Smart Watch, Desk Lamp, Printer, Tablet</t>
  </si>
  <si>
    <t>ORD-20240656</t>
  </si>
  <si>
    <t>Smart Watch, Smartphone, Webcam, Desk Lamp</t>
  </si>
  <si>
    <t>ORD-20240657</t>
  </si>
  <si>
    <t>Speaker, Projector, Webcam, Smartphone, Mouse</t>
  </si>
  <si>
    <t>ORD-20240658</t>
  </si>
  <si>
    <t>Monitor, Tablet, External Hard Drive, Webcam, Printer</t>
  </si>
  <si>
    <t>ORD-20240659</t>
  </si>
  <si>
    <t>Monitor, Speaker, Smart Watch</t>
  </si>
  <si>
    <t>ORD-20240660</t>
  </si>
  <si>
    <t>Desk Lamp, Mouse, Tablet, Headphones</t>
  </si>
  <si>
    <t>ORD-20240661</t>
  </si>
  <si>
    <t>Smartphone, Router, Keyboard, Speaker, Projector</t>
  </si>
  <si>
    <t>ORD-20240662</t>
  </si>
  <si>
    <t>Webcam, Smartphone, Router</t>
  </si>
  <si>
    <t>ORD-20240663</t>
  </si>
  <si>
    <t>Laptop, Smart Watch, External Hard Drive, Speaker</t>
  </si>
  <si>
    <t>ORD-20240664</t>
  </si>
  <si>
    <t>Printer, Smartphone, Keyboard, Router</t>
  </si>
  <si>
    <t>ORD-20240665</t>
  </si>
  <si>
    <t>Router, Smartphone, Webcam, Projector</t>
  </si>
  <si>
    <t>ORD-20240666</t>
  </si>
  <si>
    <t>Laptop, Projector, Mouse, Monitor</t>
  </si>
  <si>
    <t>ORD-20240667</t>
  </si>
  <si>
    <t>Mouse, Desk Chair, Keyboard</t>
  </si>
  <si>
    <t>ORD-20240668</t>
  </si>
  <si>
    <t>Mouse, Projector, Laptop, Tablet, Desk Chair</t>
  </si>
  <si>
    <t>ORD-20240669</t>
  </si>
  <si>
    <t>Headphones, External Hard Drive, Webcam</t>
  </si>
  <si>
    <t>ORD-20240670</t>
  </si>
  <si>
    <t>Webcam, Tablet, Desk Lamp</t>
  </si>
  <si>
    <t>ORD-20240671</t>
  </si>
  <si>
    <t>Desk Chair, Tablet, Laptop</t>
  </si>
  <si>
    <t>ORD-20240672</t>
  </si>
  <si>
    <t>Desk Lamp, Keyboard, Tablet, Smartphone, Monitor</t>
  </si>
  <si>
    <t>ORD-20240673</t>
  </si>
  <si>
    <t>Laptop, Desk Lamp, Smartphone, Tablet, Projector</t>
  </si>
  <si>
    <t>ORD-20240674</t>
  </si>
  <si>
    <t>Smartphone, Printer, Tablet, Headphones</t>
  </si>
  <si>
    <t>ORD-20240675</t>
  </si>
  <si>
    <t>Desk Chair, Laptop, Webcam, Router</t>
  </si>
  <si>
    <t>ORD-20240676</t>
  </si>
  <si>
    <t>Headphones, Desk Chair, Speaker, Laptop, Desk Lamp</t>
  </si>
  <si>
    <t>ORD-20240677</t>
  </si>
  <si>
    <t>Mouse, Desk Chair, Monitor, External Hard Drive</t>
  </si>
  <si>
    <t>ORD-20240678</t>
  </si>
  <si>
    <t>Router, Smartphone, Printer</t>
  </si>
  <si>
    <t>ORD-20240679</t>
  </si>
  <si>
    <t>Mouse, Desk Lamp, Projector, Desk Chair, Headphones</t>
  </si>
  <si>
    <t>ORD-20240680</t>
  </si>
  <si>
    <t>Printer, Speaker, Desk Chair</t>
  </si>
  <si>
    <t>ORD-20240681</t>
  </si>
  <si>
    <t>Monitor, Smart Watch, Smartphone</t>
  </si>
  <si>
    <t>ORD-20240682</t>
  </si>
  <si>
    <t>Smartphone, Keyboard, Tablet, Headphones</t>
  </si>
  <si>
    <t>ORD-20240683</t>
  </si>
  <si>
    <t>Headphones, Smartphone, Desk Chair, Keyboard</t>
  </si>
  <si>
    <t>ORD-20240684</t>
  </si>
  <si>
    <t>Printer, Desk Lamp, Projector</t>
  </si>
  <si>
    <t>ORD-20240685</t>
  </si>
  <si>
    <t>Mouse, Smartphone, Headphones</t>
  </si>
  <si>
    <t>ORD-20240686</t>
  </si>
  <si>
    <t>2024-03-08</t>
  </si>
  <si>
    <t>Desk Lamp, Projector, Smartphone</t>
  </si>
  <si>
    <t>ORD-20240687</t>
  </si>
  <si>
    <t>Keyboard, Tablet, Router, Mouse</t>
  </si>
  <si>
    <t>ORD-20240688</t>
  </si>
  <si>
    <t>Monitor, Keyboard, Mouse, Router</t>
  </si>
  <si>
    <t>ORD-20240689</t>
  </si>
  <si>
    <t>2024-11-25</t>
  </si>
  <si>
    <t>Desk Chair, Desk Lamp, Printer</t>
  </si>
  <si>
    <t>ORD-20240690</t>
  </si>
  <si>
    <t>Monitor, Keyboard, Tablet, Projector</t>
  </si>
  <si>
    <t>ORD-20240691</t>
  </si>
  <si>
    <t>Desk Lamp, Smart Watch, Smartphone, Projector</t>
  </si>
  <si>
    <t>ORD-20240692</t>
  </si>
  <si>
    <t>Smart Watch, Desk Chair, Laptop, Printer, Monitor</t>
  </si>
  <si>
    <t>ORD-20240693</t>
  </si>
  <si>
    <t>Router, Projector, Desk Lamp, Smartphone</t>
  </si>
  <si>
    <t>ORD-20240694</t>
  </si>
  <si>
    <t>Webcam, Smartphone, Monitor</t>
  </si>
  <si>
    <t>ORD-20240695</t>
  </si>
  <si>
    <t>Desk Lamp, Router, Desk Chair, Headphones</t>
  </si>
  <si>
    <t>ORD-20240696</t>
  </si>
  <si>
    <t>Smart Watch, Desk Chair, External Hard Drive, Webcam</t>
  </si>
  <si>
    <t>ORD-20240697</t>
  </si>
  <si>
    <t>Desk Chair, Desk Lamp, Smartphone, Printer, Laptop</t>
  </si>
  <si>
    <t>ORD-20240698</t>
  </si>
  <si>
    <t>Monitor, Desk Chair, Smart Watch, Mouse, Tablet</t>
  </si>
  <si>
    <t>ORD-20240699</t>
  </si>
  <si>
    <t>Laptop, Desk Chair, Projector, Printer, Smart Watch</t>
  </si>
  <si>
    <t>ORD-20240700</t>
  </si>
  <si>
    <t>Smartphone, Monitor, Projector, Headphones, Desk Chair</t>
  </si>
  <si>
    <t>ORD-20240701</t>
  </si>
  <si>
    <t>Tablet, Monitor, Desk Lamp</t>
  </si>
  <si>
    <t>ORD-20240702</t>
  </si>
  <si>
    <t>Headphones, Smartphone, Desk Chair</t>
  </si>
  <si>
    <t>ORD-20240703</t>
  </si>
  <si>
    <t>2024-01-04</t>
  </si>
  <si>
    <t>Tablet, Monitor, Router, Desk Lamp</t>
  </si>
  <si>
    <t>ORD-20240704</t>
  </si>
  <si>
    <t>Printer, Webcam, Headphones, Projector</t>
  </si>
  <si>
    <t>ORD-20240705</t>
  </si>
  <si>
    <t>Headphones, Projector, Tablet, External Hard Drive</t>
  </si>
  <si>
    <t>ORD-20240706</t>
  </si>
  <si>
    <t>Keyboard, Tablet, Printer, Smartphone</t>
  </si>
  <si>
    <t>ORD-20240707</t>
  </si>
  <si>
    <t>Smart Watch, Headphones, Router, Speaker, Printer</t>
  </si>
  <si>
    <t>ORD-20240708</t>
  </si>
  <si>
    <t>Keyboard, Desk Lamp, Laptop</t>
  </si>
  <si>
    <t>ORD-20240709</t>
  </si>
  <si>
    <t>Speaker, Smart Watch, Laptop, Desk Chair, Mouse</t>
  </si>
  <si>
    <t>ORD-20240710</t>
  </si>
  <si>
    <t>2024-10-01</t>
  </si>
  <si>
    <t>Tablet, Smartphone, Router, Keyboard</t>
  </si>
  <si>
    <t>ORD-20240711</t>
  </si>
  <si>
    <t>Projector, Keyboard, Router</t>
  </si>
  <si>
    <t>ORD-20240712</t>
  </si>
  <si>
    <t>Keyboard, Headphones, Smart Watch</t>
  </si>
  <si>
    <t>ORD-20240713</t>
  </si>
  <si>
    <t>Monitor, Webcam, Mouse, Desk Lamp, Desk Chair</t>
  </si>
  <si>
    <t>ORD-20240714</t>
  </si>
  <si>
    <t>External Hard Drive, Tablet, Smartphone, Laptop</t>
  </si>
  <si>
    <t>ORD-20240715</t>
  </si>
  <si>
    <t>Headphones, External Hard Drive, Desk Chair</t>
  </si>
  <si>
    <t>ORD-20240716</t>
  </si>
  <si>
    <t>Monitor, Headphones, Desk Lamp, Printer</t>
  </si>
  <si>
    <t>ORD-20240717</t>
  </si>
  <si>
    <t>Speaker, Desk Lamp, Mouse, Headphones, Router</t>
  </si>
  <si>
    <t>ORD-20240718</t>
  </si>
  <si>
    <t>Headphones, Keyboard, Webcam, Mouse</t>
  </si>
  <si>
    <t>ORD-20240719</t>
  </si>
  <si>
    <t>Keyboard, External Hard Drive, Laptop</t>
  </si>
  <si>
    <t>ORD-20240720</t>
  </si>
  <si>
    <t>Webcam, Desk Chair, Speaker, Desk Lamp, Keyboard</t>
  </si>
  <si>
    <t>ORD-20240721</t>
  </si>
  <si>
    <t>Smartphone, Printer, Projector, Monitor, External Hard Drive</t>
  </si>
  <si>
    <t>ORD-20240722</t>
  </si>
  <si>
    <t>Desk Lamp, Smartphone, Headphones</t>
  </si>
  <si>
    <t>ORD-20240723</t>
  </si>
  <si>
    <t>Tablet, Printer, Headphones, Desk Lamp</t>
  </si>
  <si>
    <t>ORD-20240724</t>
  </si>
  <si>
    <t>External Hard Drive, Monitor, Printer</t>
  </si>
  <si>
    <t>ORD-20240725</t>
  </si>
  <si>
    <t>Mouse, External Hard Drive, Speaker, Laptop</t>
  </si>
  <si>
    <t>ORD-20240726</t>
  </si>
  <si>
    <t>Laptop, Headphones, Projector</t>
  </si>
  <si>
    <t>ORD-20240727</t>
  </si>
  <si>
    <t>Tablet, Printer, Router, Smartphone, Laptop</t>
  </si>
  <si>
    <t>ORD-20240728</t>
  </si>
  <si>
    <t>Printer, External Hard Drive, Tablet</t>
  </si>
  <si>
    <t>ORD-20240729</t>
  </si>
  <si>
    <t>Laptop, Webcam, Router, Smart Watch</t>
  </si>
  <si>
    <t>ORD-20240730</t>
  </si>
  <si>
    <t>Headphones, Keyboard, Desk Chair, Projector</t>
  </si>
  <si>
    <t>ORD-20240731</t>
  </si>
  <si>
    <t>Mouse, Projector, Keyboard, Smart Watch</t>
  </si>
  <si>
    <t>ORD-20240732</t>
  </si>
  <si>
    <t>Router, Keyboard, Printer</t>
  </si>
  <si>
    <t>ORD-20240733</t>
  </si>
  <si>
    <t>Desk Lamp, Speaker, External Hard Drive</t>
  </si>
  <si>
    <t>ORD-20240734</t>
  </si>
  <si>
    <t>Router, Desk Chair, Projector, External Hard Drive, Printer</t>
  </si>
  <si>
    <t>ORD-20240735</t>
  </si>
  <si>
    <t>Headphones, Smart Watch, Monitor</t>
  </si>
  <si>
    <t>ORD-20240736</t>
  </si>
  <si>
    <t>2024-12-25</t>
  </si>
  <si>
    <t>Keyboard, Desk Lamp, Printer, Projector, External Hard Drive</t>
  </si>
  <si>
    <t>ORD-20240737</t>
  </si>
  <si>
    <t>Smartphone, Projector, Laptop</t>
  </si>
  <si>
    <t>ORD-20240738</t>
  </si>
  <si>
    <t>ORD-20240739</t>
  </si>
  <si>
    <t>Projector, Mouse, Smartphone, Webcam, Keyboard</t>
  </si>
  <si>
    <t>ORD-20240740</t>
  </si>
  <si>
    <t>Monitor, Desk Lamp, Mouse, Desk Chair, Printer</t>
  </si>
  <si>
    <t>ORD-20240741</t>
  </si>
  <si>
    <t>Desk Chair, Monitor, Mouse, Smart Watch</t>
  </si>
  <si>
    <t>ORD-20240742</t>
  </si>
  <si>
    <t>Laptop, Speaker, Keyboard</t>
  </si>
  <si>
    <t>ORD-20240743</t>
  </si>
  <si>
    <t>Monitor, Tablet, Desk Lamp</t>
  </si>
  <si>
    <t>ORD-20240744</t>
  </si>
  <si>
    <t>Mouse, Monitor, Projector, Speaker</t>
  </si>
  <si>
    <t>ORD-20240745</t>
  </si>
  <si>
    <t>Laptop, Router, External Hard Drive, Projector, Webcam</t>
  </si>
  <si>
    <t>ORD-20240746</t>
  </si>
  <si>
    <t>2024-10-06</t>
  </si>
  <si>
    <t>Smartphone, Laptop, Mouse, Router, Headphones</t>
  </si>
  <si>
    <t>ORD-20240747</t>
  </si>
  <si>
    <t>Projector, Smartphone, Printer</t>
  </si>
  <si>
    <t>ORD-20240748</t>
  </si>
  <si>
    <t>Keyboard, Printer, Projector, Smartphone, Tablet</t>
  </si>
  <si>
    <t>ORD-20240749</t>
  </si>
  <si>
    <t>Desk Chair, Projector, Speaker, Monitor, Headphones</t>
  </si>
  <si>
    <t>ORD-20240750</t>
  </si>
  <si>
    <t>Tablet, Laptop, Printer, Speaker</t>
  </si>
  <si>
    <t>ORD-20240751</t>
  </si>
  <si>
    <t>Speaker, Webcam, Desk Lamp, Router, Desk Chair</t>
  </si>
  <si>
    <t>ORD-20240752</t>
  </si>
  <si>
    <t>ORD-20240753</t>
  </si>
  <si>
    <t>Smartphone, Printer, Desk Chair, Monitor</t>
  </si>
  <si>
    <t>ORD-20240754</t>
  </si>
  <si>
    <t>Tablet, Router, Printer</t>
  </si>
  <si>
    <t>ORD-20240755</t>
  </si>
  <si>
    <t>Keyboard, Webcam, Projector, Printer</t>
  </si>
  <si>
    <t>ORD-20240756</t>
  </si>
  <si>
    <t>Keyboard, Projector, Webcam, Smartphone</t>
  </si>
  <si>
    <t>ORD-20240757</t>
  </si>
  <si>
    <t>External Hard Drive, Smart Watch, Smartphone, Tablet, Speaker</t>
  </si>
  <si>
    <t>ORD-20240758</t>
  </si>
  <si>
    <t>Desk Lamp, Webcam, Projector</t>
  </si>
  <si>
    <t>ORD-20240759</t>
  </si>
  <si>
    <t>Monitor, Laptop, Webcam, Smartphone, Keyboard</t>
  </si>
  <si>
    <t>ORD-20240760</t>
  </si>
  <si>
    <t>External Hard Drive, Printer, Desk Chair, Projector, Desk Lamp</t>
  </si>
  <si>
    <t>ORD-20240761</t>
  </si>
  <si>
    <t>Printer, Smart Watch, Projector, Laptop</t>
  </si>
  <si>
    <t>ORD-20240762</t>
  </si>
  <si>
    <t>ORD-20240763</t>
  </si>
  <si>
    <t>External Hard Drive, Router, Desk Chair, Smartphone, Keyboard</t>
  </si>
  <si>
    <t>ORD-20240764</t>
  </si>
  <si>
    <t>Mouse, Monitor, Laptop, Tablet</t>
  </si>
  <si>
    <t>ORD-20240765</t>
  </si>
  <si>
    <t>Speaker, Mouse, Smartphone</t>
  </si>
  <si>
    <t>ORD-20240766</t>
  </si>
  <si>
    <t>External Hard Drive, Desk Lamp, Speaker</t>
  </si>
  <si>
    <t>ORD-20240767</t>
  </si>
  <si>
    <t>Projector, External Hard Drive, Printer, Mouse</t>
  </si>
  <si>
    <t>ORD-20240768</t>
  </si>
  <si>
    <t>Desk Lamp, Webcam, Router, Headphones</t>
  </si>
  <si>
    <t>ORD-20240769</t>
  </si>
  <si>
    <t>Monitor, Projector, Router, Smart Watch</t>
  </si>
  <si>
    <t>ORD-20240770</t>
  </si>
  <si>
    <t>Headphones, Tablet, Keyboard</t>
  </si>
  <si>
    <t>ORD-20240771</t>
  </si>
  <si>
    <t>Desk Lamp, Desk Chair, Tablet, Keyboard</t>
  </si>
  <si>
    <t>ORD-20240772</t>
  </si>
  <si>
    <t>Laptop, Headphones, Mouse, Monitor</t>
  </si>
  <si>
    <t>ORD-20240773</t>
  </si>
  <si>
    <t>Printer, External Hard Drive, Headphones, Desk Chair, Keyboard</t>
  </si>
  <si>
    <t>ORD-20240774</t>
  </si>
  <si>
    <t>Speaker, Tablet, Smart Watch, Monitor</t>
  </si>
  <si>
    <t>ORD-20240775</t>
  </si>
  <si>
    <t>Keyboard, Speaker, Headphones</t>
  </si>
  <si>
    <t>ORD-20240776</t>
  </si>
  <si>
    <t>Smart Watch, Tablet, Desk Chair, External Hard Drive</t>
  </si>
  <si>
    <t>ORD-20240777</t>
  </si>
  <si>
    <t>Smartphone, Keyboard, External Hard Drive, Laptop, Speaker</t>
  </si>
  <si>
    <t>ORD-20240778</t>
  </si>
  <si>
    <t>Smart Watch, Laptop, Webcam, Desk Lamp, Desk Chair</t>
  </si>
  <si>
    <t>ORD-20240779</t>
  </si>
  <si>
    <t>Desk Chair, Tablet, Mouse</t>
  </si>
  <si>
    <t>ORD-20240780</t>
  </si>
  <si>
    <t>Headphones, Mouse, Tablet, Router, Desk Chair</t>
  </si>
  <si>
    <t>ORD-20240781</t>
  </si>
  <si>
    <t>Projector, Printer, Webcam, Tablet, Desk Lamp</t>
  </si>
  <si>
    <t>ORD-20240782</t>
  </si>
  <si>
    <t>ORD-20240783</t>
  </si>
  <si>
    <t>Desk Chair, Router, Desk Lamp, External Hard Drive</t>
  </si>
  <si>
    <t>ORD-20240784</t>
  </si>
  <si>
    <t>Keyboard, Webcam, Speaker, Smart Watch, Laptop</t>
  </si>
  <si>
    <t>ORD-20240785</t>
  </si>
  <si>
    <t>Webcam, Projector, Mouse, Desk Lamp</t>
  </si>
  <si>
    <t>ORD-20240786</t>
  </si>
  <si>
    <t>Router, Smart Watch, Desk Lamp, Speaker</t>
  </si>
  <si>
    <t>ORD-20240787</t>
  </si>
  <si>
    <t>Printer, Smart Watch, Router, External Hard Drive</t>
  </si>
  <si>
    <t>ORD-20240788</t>
  </si>
  <si>
    <t>Desk Chair, Laptop, Printer</t>
  </si>
  <si>
    <t>ORD-20240789</t>
  </si>
  <si>
    <t>Mouse, Webcam, Router, Tablet</t>
  </si>
  <si>
    <t>ORD-20240790</t>
  </si>
  <si>
    <t>External Hard Drive, Tablet, Speaker, Keyboard, Smartphone</t>
  </si>
  <si>
    <t>ORD-20240791</t>
  </si>
  <si>
    <t>Speaker, Headphones, Desk Chair, Tablet</t>
  </si>
  <si>
    <t>ORD-20240792</t>
  </si>
  <si>
    <t>Laptop, Tablet, Mouse</t>
  </si>
  <si>
    <t>ORD-20240793</t>
  </si>
  <si>
    <t>Webcam, Smartphone, Desk Chair, Mouse, Monitor</t>
  </si>
  <si>
    <t>ORD-20240794</t>
  </si>
  <si>
    <t>Desk Lamp, Webcam, Mouse, Smart Watch</t>
  </si>
  <si>
    <t>ORD-20240795</t>
  </si>
  <si>
    <t>Speaker, External Hard Drive, Smartphone</t>
  </si>
  <si>
    <t>ORD-20240796</t>
  </si>
  <si>
    <t>Desk Lamp, Printer, Speaker, Monitor, Router</t>
  </si>
  <si>
    <t>ORD-20240797</t>
  </si>
  <si>
    <t>Smartphone, Desk Lamp, Laptop, Speaker</t>
  </si>
  <si>
    <t>ORD-20240798</t>
  </si>
  <si>
    <t>Desk Lamp, Router, External Hard Drive</t>
  </si>
  <si>
    <t>ORD-20240799</t>
  </si>
  <si>
    <t>Laptop, Mouse, Desk Chair</t>
  </si>
  <si>
    <t>ORD-20240800</t>
  </si>
  <si>
    <t>External Hard Drive, Headphones, Speaker, Printer, Keyboard</t>
  </si>
  <si>
    <t>ORD-20240801</t>
  </si>
  <si>
    <t>Router, Desk Chair, Smartphone, Laptop</t>
  </si>
  <si>
    <t>ORD-20240802</t>
  </si>
  <si>
    <t>Desk Lamp, Smart Watch, Projector</t>
  </si>
  <si>
    <t>ORD-20240803</t>
  </si>
  <si>
    <t>Smart Watch, Speaker, External Hard Drive</t>
  </si>
  <si>
    <t>ORD-20240804</t>
  </si>
  <si>
    <t>Mouse, Desk Chair, Headphones, Speaker</t>
  </si>
  <si>
    <t>ORD-20240805</t>
  </si>
  <si>
    <t>Monitor, Mouse, Laptop, Desk Chair, Speaker</t>
  </si>
  <si>
    <t>ORD-20240806</t>
  </si>
  <si>
    <t>Headphones, External Hard Drive, Desk Chair, Keyboard, Monitor</t>
  </si>
  <si>
    <t>ORD-20240807</t>
  </si>
  <si>
    <t>2024-02-20</t>
  </si>
  <si>
    <t>Smartphone, Desk Lamp, Keyboard, Mouse, Printer</t>
  </si>
  <si>
    <t>ORD-20240808</t>
  </si>
  <si>
    <t>Mouse, Monitor, External Hard Drive</t>
  </si>
  <si>
    <t>ORD-20240809</t>
  </si>
  <si>
    <t>Headphones, Printer, Smartphone, Monitor</t>
  </si>
  <si>
    <t>ORD-20240810</t>
  </si>
  <si>
    <t>Desk Lamp, Headphones, Monitor, Desk Chair, Projector</t>
  </si>
  <si>
    <t>ORD-20240811</t>
  </si>
  <si>
    <t>2024-01-01</t>
  </si>
  <si>
    <t>Mouse, Headphones, Monitor, External Hard Drive, Smart Watch</t>
  </si>
  <si>
    <t>ORD-20240812</t>
  </si>
  <si>
    <t>2025-01-05</t>
  </si>
  <si>
    <t>Projector, External Hard Drive, Desk Lamp, Desk Chair</t>
  </si>
  <si>
    <t>ORD-20240813</t>
  </si>
  <si>
    <t>Speaker, Printer, Desk Chair, Smartphone, Tablet</t>
  </si>
  <si>
    <t>ORD-20240814</t>
  </si>
  <si>
    <t>Router, Laptop, Monitor, Desk Chair</t>
  </si>
  <si>
    <t>ORD-20240815</t>
  </si>
  <si>
    <t>Headphones, Projector, Speaker, Mouse, Desk Chair</t>
  </si>
  <si>
    <t>ORD-20240816</t>
  </si>
  <si>
    <t>Keyboard, Webcam, Desk Lamp, Projector, Desk Chair</t>
  </si>
  <si>
    <t>ORD-20240817</t>
  </si>
  <si>
    <t>Printer, Speaker, Headphones</t>
  </si>
  <si>
    <t>ORD-20240818</t>
  </si>
  <si>
    <t>Desk Chair, Mouse, Smartphone, Webcam</t>
  </si>
  <si>
    <t>ORD-20240819</t>
  </si>
  <si>
    <t>Projector, Laptop, Printer, Monitor</t>
  </si>
  <si>
    <t>ORD-20240820</t>
  </si>
  <si>
    <t>Webcam, Speaker, Smartphone</t>
  </si>
  <si>
    <t>ORD-20240821</t>
  </si>
  <si>
    <t>Tablet, Speaker, Desk Chair, Webcam, Projector</t>
  </si>
  <si>
    <t>ORD-20240822</t>
  </si>
  <si>
    <t>Desk Lamp, External Hard Drive, Projector, Monitor</t>
  </si>
  <si>
    <t>ORD-20240823</t>
  </si>
  <si>
    <t>Desk Chair, Headphones, Tablet, External Hard Drive</t>
  </si>
  <si>
    <t>ORD-20240824</t>
  </si>
  <si>
    <t>Smartphone, Headphones, Printer, Smart Watch, Projector</t>
  </si>
  <si>
    <t>ORD-20240825</t>
  </si>
  <si>
    <t>Smart Watch, Projector, Desk Lamp, Router</t>
  </si>
  <si>
    <t>ORD-20240826</t>
  </si>
  <si>
    <t>Projector, External Hard Drive, Desk Lamp, Smartphone</t>
  </si>
  <si>
    <t>ORD-20240827</t>
  </si>
  <si>
    <t>Tablet, Printer, Projector, Desk Lamp, Mouse</t>
  </si>
  <si>
    <t>ORD-20240828</t>
  </si>
  <si>
    <t>Monitor, Smartphone, Projector, Desk Lamp, Mouse</t>
  </si>
  <si>
    <t>ORD-20240829</t>
  </si>
  <si>
    <t>Laptop, Mouse, Speaker, Smartphone</t>
  </si>
  <si>
    <t>ORD-20240830</t>
  </si>
  <si>
    <t>Webcam, Speaker, Smart Watch, Smartphone, Tablet</t>
  </si>
  <si>
    <t>ORD-20240831</t>
  </si>
  <si>
    <t>Desk Chair, Smartphone, Tablet, Keyboard, Laptop</t>
  </si>
  <si>
    <t>ORD-20240832</t>
  </si>
  <si>
    <t>Tablet, Smartphone, Desk Chair</t>
  </si>
  <si>
    <t>ORD-20240833</t>
  </si>
  <si>
    <t>Smartphone, External Hard Drive, Router, Desk Chair</t>
  </si>
  <si>
    <t>ORD-20240834</t>
  </si>
  <si>
    <t>Desk Chair, Speaker, Projector</t>
  </si>
  <si>
    <t>ORD-20240835</t>
  </si>
  <si>
    <t>Router, Smart Watch, Keyboard, External Hard Drive</t>
  </si>
  <si>
    <t>ORD-20240836</t>
  </si>
  <si>
    <t>Laptop, Tablet, Keyboard</t>
  </si>
  <si>
    <t>ORD-20240837</t>
  </si>
  <si>
    <t>Desk Chair, Printer, Router, Projector</t>
  </si>
  <si>
    <t>ORD-20240838</t>
  </si>
  <si>
    <t>Tablet, Smart Watch, Desk Lamp, Printer</t>
  </si>
  <si>
    <t>ORD-20240839</t>
  </si>
  <si>
    <t>Webcam, Headphones, Monitor</t>
  </si>
  <si>
    <t>ORD-20240840</t>
  </si>
  <si>
    <t>External Hard Drive, Keyboard, Laptop, Desk Lamp</t>
  </si>
  <si>
    <t>ORD-20240841</t>
  </si>
  <si>
    <t>Laptop, Keyboard, Headphones, Tablet, Smart Watch</t>
  </si>
  <si>
    <t>ORD-20240842</t>
  </si>
  <si>
    <t>ORD-20240843</t>
  </si>
  <si>
    <t>Speaker, Tablet, Desk Chair</t>
  </si>
  <si>
    <t>ORD-20240844</t>
  </si>
  <si>
    <t>Mouse, Desk Lamp, External Hard Drive, Keyboard</t>
  </si>
  <si>
    <t>ORD-20240845</t>
  </si>
  <si>
    <t>Laptop, Smart Watch, Printer, Router</t>
  </si>
  <si>
    <t>ORD-20240846</t>
  </si>
  <si>
    <t>Desk Lamp, Desk Chair, Speaker, External Hard Drive, Laptop</t>
  </si>
  <si>
    <t>ORD-20240847</t>
  </si>
  <si>
    <t>Laptop, Speaker, Desk Chair, Printer</t>
  </si>
  <si>
    <t>ORD-20240848</t>
  </si>
  <si>
    <t>Monitor, Projector, Webcam, External Hard Drive, Printer</t>
  </si>
  <si>
    <t>ORD-20240849</t>
  </si>
  <si>
    <t>Laptop, Speaker, Desk Lamp, Desk Chair</t>
  </si>
  <si>
    <t>ORD-20240850</t>
  </si>
  <si>
    <t>Webcam, Printer, Headphones, Tablet, External Hard Drive</t>
  </si>
  <si>
    <t>ORD-20240851</t>
  </si>
  <si>
    <t>Desk Chair, Laptop, Smart Watch, Webcam</t>
  </si>
  <si>
    <t>ORD-20240852</t>
  </si>
  <si>
    <t>Keyboard, Router, Projector, Webcam, External Hard Drive</t>
  </si>
  <si>
    <t>ORD-20240853</t>
  </si>
  <si>
    <t>Desk Chair, Mouse, Printer, Keyboard, Smart Watch</t>
  </si>
  <si>
    <t>ORD-20240854</t>
  </si>
  <si>
    <t>Smartphone, Desk Lamp, Speaker, Laptop, Webcam</t>
  </si>
  <si>
    <t>ORD-20240855</t>
  </si>
  <si>
    <t>Router, Monitor, External Hard Drive, Keyboard, Smart Watch</t>
  </si>
  <si>
    <t>ORD-20240856</t>
  </si>
  <si>
    <t>Keyboard, Router, Desk Chair, Webcam, Smartphone</t>
  </si>
  <si>
    <t>ORD-20240857</t>
  </si>
  <si>
    <t>Monitor, Tablet, Mouse</t>
  </si>
  <si>
    <t>ORD-20240858</t>
  </si>
  <si>
    <t>Projector, Keyboard, Monitor, Tablet, Smart Watch</t>
  </si>
  <si>
    <t>ORD-20240859</t>
  </si>
  <si>
    <t>Tablet, Webcam, Printer, Laptop</t>
  </si>
  <si>
    <t>ORD-20240860</t>
  </si>
  <si>
    <t>Printer, Projector, Mouse, Desk Lamp</t>
  </si>
  <si>
    <t>ORD-20240861</t>
  </si>
  <si>
    <t>Webcam, Laptop, Desk Chair, Router, Tablet</t>
  </si>
  <si>
    <t>ORD-20240862</t>
  </si>
  <si>
    <t>Keyboard, Desk Chair, Tablet</t>
  </si>
  <si>
    <t>ORD-20240863</t>
  </si>
  <si>
    <t>Projector, Keyboard, Monitor, Desk Lamp</t>
  </si>
  <si>
    <t>ORD-20240864</t>
  </si>
  <si>
    <t>Smartphone, Desk Lamp, Headphones</t>
  </si>
  <si>
    <t>ORD-20240865</t>
  </si>
  <si>
    <t>Smart Watch, Laptop, Monitor</t>
  </si>
  <si>
    <t>ORD-20240866</t>
  </si>
  <si>
    <t>ORD-20240867</t>
  </si>
  <si>
    <t>Projector, External Hard Drive, Keyboard, Tablet</t>
  </si>
  <si>
    <t>ORD-20240868</t>
  </si>
  <si>
    <t>Headphones, Keyboard, Smart Watch</t>
  </si>
  <si>
    <t>ORD-20240869</t>
  </si>
  <si>
    <t>Tablet, Desk Lamp, Speaker, Desk Chair</t>
  </si>
  <si>
    <t>ORD-20240870</t>
  </si>
  <si>
    <t>Smartphone, Webcam, Desk Lamp, Printer, Laptop</t>
  </si>
  <si>
    <t>ORD-20240871</t>
  </si>
  <si>
    <t>Keyboard, Router, Projector, Monitor, Mouse</t>
  </si>
  <si>
    <t>ORD-20240872</t>
  </si>
  <si>
    <t>Tablet, Smartphone, Speaker</t>
  </si>
  <si>
    <t>ORD-20240873</t>
  </si>
  <si>
    <t>Smart Watch, Laptop, Tablet</t>
  </si>
  <si>
    <t>ORD-20240874</t>
  </si>
  <si>
    <t>Mouse, Projector, Smart Watch</t>
  </si>
  <si>
    <t>ORD-20240875</t>
  </si>
  <si>
    <t>Smartphone, External Hard Drive, Keyboard, Webcam</t>
  </si>
  <si>
    <t>ORD-20240876</t>
  </si>
  <si>
    <t>Mouse, Desk Lamp, Webcam, Projector</t>
  </si>
  <si>
    <t>ORD-20240877</t>
  </si>
  <si>
    <t>Smart Watch, Keyboard, Router, Tablet, Laptop</t>
  </si>
  <si>
    <t>ORD-20240878</t>
  </si>
  <si>
    <t>Mouse, Monitor, Speaker</t>
  </si>
  <si>
    <t>ORD-20240879</t>
  </si>
  <si>
    <t>Router, Headphones, Monitor, Mouse, Speaker</t>
  </si>
  <si>
    <t>ORD-20240880</t>
  </si>
  <si>
    <t>Headphones, Speaker, Smart Watch, Keyboard</t>
  </si>
  <si>
    <t>ORD-20240881</t>
  </si>
  <si>
    <t>Monitor, Printer, Desk Lamp, Webcam</t>
  </si>
  <si>
    <t>ORD-20240882</t>
  </si>
  <si>
    <t>External Hard Drive, Laptop, Mouse</t>
  </si>
  <si>
    <t>ORD-20240883</t>
  </si>
  <si>
    <t>Router, Desk Lamp, Headphones, Keyboard, Smartphone</t>
  </si>
  <si>
    <t>ORD-20240884</t>
  </si>
  <si>
    <t>Tablet, Smartphone, Mouse</t>
  </si>
  <si>
    <t>ORD-20240885</t>
  </si>
  <si>
    <t>Desk Lamp, Desk Chair, Laptop, Monitor</t>
  </si>
  <si>
    <t>ORD-20240886</t>
  </si>
  <si>
    <t>Mouse, Projector, Smart Watch, Monitor</t>
  </si>
  <si>
    <t>ORD-20240887</t>
  </si>
  <si>
    <t>External Hard Drive, Printer, Desk Chair, Headphones</t>
  </si>
  <si>
    <t>ORD-20240888</t>
  </si>
  <si>
    <t>Monitor, Headphones, Keyboard, External Hard Drive</t>
  </si>
  <si>
    <t>ORD-20240889</t>
  </si>
  <si>
    <t>Smart Watch, Headphones, Tablet, Desk Lamp</t>
  </si>
  <si>
    <t>ORD-20240890</t>
  </si>
  <si>
    <t>Webcam, Projector, Laptop, Desk Chair, Router</t>
  </si>
  <si>
    <t>ORD-20240891</t>
  </si>
  <si>
    <t>Webcam, Printer, Desk Lamp, Projector, Smart Watch</t>
  </si>
  <si>
    <t>ORD-20240892</t>
  </si>
  <si>
    <t>Keyboard, Smart Watch, Speaker, Mouse</t>
  </si>
  <si>
    <t>ORD-20240893</t>
  </si>
  <si>
    <t>Laptop, Keyboard, Printer, Speaker, Smartphone</t>
  </si>
  <si>
    <t>ORD-20240894</t>
  </si>
  <si>
    <t>Mouse, Smartphone, Webcam, Desk Chair, Speaker</t>
  </si>
  <si>
    <t>ORD-20240895</t>
  </si>
  <si>
    <t>External Hard Drive, Webcam, Headphones, Smart Watch</t>
  </si>
  <si>
    <t>ORD-20240896</t>
  </si>
  <si>
    <t>Printer, Speaker, Smartphone, Smart Watch</t>
  </si>
  <si>
    <t>ORD-20240897</t>
  </si>
  <si>
    <t>Smart Watch, Smartphone, Mouse</t>
  </si>
  <si>
    <t>ORD-20240898</t>
  </si>
  <si>
    <t>Headphones, Keyboard, Smart Watch, Speaker</t>
  </si>
  <si>
    <t>ORD-20240899</t>
  </si>
  <si>
    <t>Keyboard, Printer, Headphones, Webcam, Router</t>
  </si>
  <si>
    <t>ORD-20240900</t>
  </si>
  <si>
    <t>Headphones, Printer, Speaker, Keyboard</t>
  </si>
  <si>
    <t>ORD-20240901</t>
  </si>
  <si>
    <t>Smart Watch, Router, External Hard Drive</t>
  </si>
  <si>
    <t>ORD-20240902</t>
  </si>
  <si>
    <t>Laptop, Webcam, Keyboard, Desk Lamp</t>
  </si>
  <si>
    <t>ORD-20240903</t>
  </si>
  <si>
    <t>Speaker, Router, Tablet, Desk Lamp</t>
  </si>
  <si>
    <t>ORD-20240904</t>
  </si>
  <si>
    <t>Smart Watch, Printer, Speaker, Monitor</t>
  </si>
  <si>
    <t>ORD-20240905</t>
  </si>
  <si>
    <t>Tablet, Webcam, Headphones, Smartphone</t>
  </si>
  <si>
    <t>ORD-20240906</t>
  </si>
  <si>
    <t>Router, Printer, Monitor</t>
  </si>
  <si>
    <t>ORD-20240907</t>
  </si>
  <si>
    <t>Smart Watch, Smartphone, Monitor, Router</t>
  </si>
  <si>
    <t>ORD-20240908</t>
  </si>
  <si>
    <t>Keyboard, Desk Lamp, Webcam</t>
  </si>
  <si>
    <t>ORD-20240909</t>
  </si>
  <si>
    <t>External Hard Drive, Projector, Keyboard, Desk Lamp</t>
  </si>
  <si>
    <t>ORD-20240910</t>
  </si>
  <si>
    <t>Mouse, Router, Keyboard, Webcam, Printer</t>
  </si>
  <si>
    <t>ORD-20240911</t>
  </si>
  <si>
    <t>Speaker, Mouse, Smart Watch, Desk Chair</t>
  </si>
  <si>
    <t>ORD-20240912</t>
  </si>
  <si>
    <t>External Hard Drive, Router, Mouse, Speaker, Laptop</t>
  </si>
  <si>
    <t>ORD-20240913</t>
  </si>
  <si>
    <t>Router, Mouse, External Hard Drive, Projector, Desk Lamp</t>
  </si>
  <si>
    <t>ORD-20240914</t>
  </si>
  <si>
    <t>Router, Printer, Mouse, Tablet</t>
  </si>
  <si>
    <t>ORD-20240915</t>
  </si>
  <si>
    <t>Speaker, Keyboard, Smart Watch</t>
  </si>
  <si>
    <t>ORD-20240916</t>
  </si>
  <si>
    <t>Headphones, Router, Keyboard</t>
  </si>
  <si>
    <t>ORD-20240917</t>
  </si>
  <si>
    <t>Laptop, Headphones, Tablet, Projector, Smart Watch</t>
  </si>
  <si>
    <t>ORD-20240918</t>
  </si>
  <si>
    <t>Router, Smart Watch, Desk Chair</t>
  </si>
  <si>
    <t>ORD-20240919</t>
  </si>
  <si>
    <t>Mouse, Webcam, Tablet, Headphones, Smartphone</t>
  </si>
  <si>
    <t>ORD-20240920</t>
  </si>
  <si>
    <t>Monitor, Router, External Hard Drive, Tablet, Keyboard</t>
  </si>
  <si>
    <t>ORD-20240921</t>
  </si>
  <si>
    <t>Smartphone, Speaker, Keyboard</t>
  </si>
  <si>
    <t>ORD-20240922</t>
  </si>
  <si>
    <t>Monitor, Laptop, Mouse, Tablet, External Hard Drive</t>
  </si>
  <si>
    <t>ORD-20240923</t>
  </si>
  <si>
    <t>Speaker, Projector, Desk Lamp</t>
  </si>
  <si>
    <t>ORD-20240924</t>
  </si>
  <si>
    <t>Webcam, Desk Lamp, Keyboard</t>
  </si>
  <si>
    <t>ORD-20240925</t>
  </si>
  <si>
    <t>Desk Lamp, Laptop, Printer, Projector</t>
  </si>
  <si>
    <t>ORD-20240926</t>
  </si>
  <si>
    <t>Mouse, Smartphone, Router, Smart Watch, Desk Lamp</t>
  </si>
  <si>
    <t>ORD-20240927</t>
  </si>
  <si>
    <t>2024-01-09</t>
  </si>
  <si>
    <t>Headphones, Smart Watch, Mouse, Printer</t>
  </si>
  <si>
    <t>ORD-20240928</t>
  </si>
  <si>
    <t>Smartphone, Webcam, Router, Printer, External Hard Drive</t>
  </si>
  <si>
    <t>ORD-20240929</t>
  </si>
  <si>
    <t>Router, Desk Lamp, Projector, Laptop</t>
  </si>
  <si>
    <t>ORD-20240930</t>
  </si>
  <si>
    <t>Mouse, Desk Lamp, Router, Laptop, Smartphone</t>
  </si>
  <si>
    <t>ORD-20240931</t>
  </si>
  <si>
    <t>Speaker, Desk Chair, Projector, Desk Lamp, Router</t>
  </si>
  <si>
    <t>ORD-20240932</t>
  </si>
  <si>
    <t>Tablet, External Hard Drive, Router, Keyboard, Speaker</t>
  </si>
  <si>
    <t>ORD-20240933</t>
  </si>
  <si>
    <t>Smartphone, Router, Printer, Desk Lamp</t>
  </si>
  <si>
    <t>ORD-20240934</t>
  </si>
  <si>
    <t>Printer, Tablet, Mouse</t>
  </si>
  <si>
    <t>ORD-20240935</t>
  </si>
  <si>
    <t>Webcam, Smart Watch, Printer</t>
  </si>
  <si>
    <t>ORD-20240936</t>
  </si>
  <si>
    <t>Smartphone, Printer, Keyboard, Desk Lamp</t>
  </si>
  <si>
    <t>ORD-20240937</t>
  </si>
  <si>
    <t>Printer, External Hard Drive, Smart Watch, Projector, Desk Lamp</t>
  </si>
  <si>
    <t>ORD-20240938</t>
  </si>
  <si>
    <t>Smart Watch, Smartphone, Router, Projector, Monitor</t>
  </si>
  <si>
    <t>ORD-20240939</t>
  </si>
  <si>
    <t>Printer, Webcam, Desk Lamp, Mouse</t>
  </si>
  <si>
    <t>ORD-20240940</t>
  </si>
  <si>
    <t>Monitor, Printer, Headphones, Projector, Smartphone</t>
  </si>
  <si>
    <t>ORD-20240941</t>
  </si>
  <si>
    <t>Webcam, Smartphone, Desk Chair, External Hard Drive</t>
  </si>
  <si>
    <t>ORD-20240942</t>
  </si>
  <si>
    <t>Speaker, Projector, External Hard Drive, Mouse</t>
  </si>
  <si>
    <t>ORD-20240943</t>
  </si>
  <si>
    <t>Laptop, Mouse, Desk Lamp</t>
  </si>
  <si>
    <t>ORD-20240944</t>
  </si>
  <si>
    <t>Projector, Webcam, Smartphone</t>
  </si>
  <si>
    <t>ORD-20240945</t>
  </si>
  <si>
    <t>Speaker, Router, Desk Lamp</t>
  </si>
  <si>
    <t>ORD-20240946</t>
  </si>
  <si>
    <t>Desk Lamp, Mouse, Smart Watch</t>
  </si>
  <si>
    <t>ORD-20240947</t>
  </si>
  <si>
    <t>Speaker, Desk Lamp, Smart Watch</t>
  </si>
  <si>
    <t>ORD-20240948</t>
  </si>
  <si>
    <t>Desk Chair, Projector, Smartphone, Printer, Headphones</t>
  </si>
  <si>
    <t>ORD-20240949</t>
  </si>
  <si>
    <t>Smart Watch, Keyboard, Tablet, Speaker</t>
  </si>
  <si>
    <t>ORD-20240950</t>
  </si>
  <si>
    <t>Desk Chair, Headphones, Monitor</t>
  </si>
  <si>
    <t>ORD-20240951</t>
  </si>
  <si>
    <t>Printer, Headphones, Projector, Webcam</t>
  </si>
  <si>
    <t>ORD-20240952</t>
  </si>
  <si>
    <t>Tablet, Webcam, Monitor, External Hard Drive</t>
  </si>
  <si>
    <t>ORD-20240953</t>
  </si>
  <si>
    <t>Monitor, External Hard Drive, Router, Tablet</t>
  </si>
  <si>
    <t>ORD-20240954</t>
  </si>
  <si>
    <t>Headphones, Laptop, Printer</t>
  </si>
  <si>
    <t>ORD-20240955</t>
  </si>
  <si>
    <t>Projector, External Hard Drive, Monitor, Printer, Router</t>
  </si>
  <si>
    <t>ORD-20240956</t>
  </si>
  <si>
    <t>Laptop, Keyboard, Projector, Smart Watch</t>
  </si>
  <si>
    <t>ORD-20240957</t>
  </si>
  <si>
    <t>External Hard Drive, Laptop, Webcam, Printer</t>
  </si>
  <si>
    <t>ORD-20240958</t>
  </si>
  <si>
    <t>Printer, External Hard Drive, Webcam</t>
  </si>
  <si>
    <t>ORD-20240959</t>
  </si>
  <si>
    <t>Keyboard, Webcam, Router, Desk Chair</t>
  </si>
  <si>
    <t>ORD-20240960</t>
  </si>
  <si>
    <t>Headphones, Monitor, Projector, Speaker</t>
  </si>
  <si>
    <t>ORD-20240961</t>
  </si>
  <si>
    <t>Keyboard, Projector, Webcam, Laptop</t>
  </si>
  <si>
    <t>ORD-20240962</t>
  </si>
  <si>
    <t>Keyboard, Router, Desk Lamp, Mouse, Tablet</t>
  </si>
  <si>
    <t>ORD-20240963</t>
  </si>
  <si>
    <t>Monitor, External Hard Drive, Printer, Projector, Keyboard</t>
  </si>
  <si>
    <t>ORD-20240964</t>
  </si>
  <si>
    <t>Speaker, Desk Chair, Desk Lamp, Headphones, Laptop</t>
  </si>
  <si>
    <t>ORD-20240965</t>
  </si>
  <si>
    <t>Laptop, Monitor, External Hard Drive, Smartphone, Webcam</t>
  </si>
  <si>
    <t>ORD-20240966</t>
  </si>
  <si>
    <t>Webcam, Laptop, Projector</t>
  </si>
  <si>
    <t>ORD-20240967</t>
  </si>
  <si>
    <t>Mouse, Smartphone, External Hard Drive, Desk Lamp</t>
  </si>
  <si>
    <t>ORD-20240968</t>
  </si>
  <si>
    <t>Desk Lamp, Printer, Speaker</t>
  </si>
  <si>
    <t>ORD-20240969</t>
  </si>
  <si>
    <t>External Hard Drive, Router, Headphones, Monitor, Keyboard</t>
  </si>
  <si>
    <t>ORD-20240970</t>
  </si>
  <si>
    <t>Webcam, Headphones, External Hard Drive, Mouse</t>
  </si>
  <si>
    <t>ORD-20240971</t>
  </si>
  <si>
    <t>Smart Watch, Desk Chair, Printer</t>
  </si>
  <si>
    <t>ORD-20240972</t>
  </si>
  <si>
    <t>Laptop, Smart Watch, Smartphone</t>
  </si>
  <si>
    <t>ORD-20240973</t>
  </si>
  <si>
    <t>Monitor, Smart Watch, Mouse</t>
  </si>
  <si>
    <t>ORD-20240974</t>
  </si>
  <si>
    <t>Printer, External Hard Drive, Keyboard, Router</t>
  </si>
  <si>
    <t>ORD-20240975</t>
  </si>
  <si>
    <t>Desk Lamp, Headphones, Printer, Tablet, Speaker</t>
  </si>
  <si>
    <t>ORD-20240976</t>
  </si>
  <si>
    <t>Desk Lamp, Smart Watch, Monitor</t>
  </si>
  <si>
    <t>ORD-20240977</t>
  </si>
  <si>
    <t>External Hard Drive, Printer, Laptop, Keyboard</t>
  </si>
  <si>
    <t>ORD-20240978</t>
  </si>
  <si>
    <t>Webcam, Laptop, External Hard Drive, Desk Lamp</t>
  </si>
  <si>
    <t>ORD-20240979</t>
  </si>
  <si>
    <t>Headphones, Speaker, Router, Monitor, Desk Chair</t>
  </si>
  <si>
    <t>ORD-20240980</t>
  </si>
  <si>
    <t>Router, Laptop, Webcam, Smart Watch</t>
  </si>
  <si>
    <t>ORD-20240981</t>
  </si>
  <si>
    <t>Laptop, Projector, Printer, Desk Chair</t>
  </si>
  <si>
    <t>ORD-20240982</t>
  </si>
  <si>
    <t>Projector, Desk Lamp, External Hard Drive</t>
  </si>
  <si>
    <t>ORD-20240983</t>
  </si>
  <si>
    <t>Desk Chair, Monitor, Laptop, Speaker, Router</t>
  </si>
  <si>
    <t>ORD-20240984</t>
  </si>
  <si>
    <t>Speaker, Tablet, Laptop, Headphones</t>
  </si>
  <si>
    <t>ORD-20240985</t>
  </si>
  <si>
    <t>External Hard Drive, Webcam, Headphones, Tablet, Smart Watch</t>
  </si>
  <si>
    <t>ORD-20240986</t>
  </si>
  <si>
    <t>2024-12-31</t>
  </si>
  <si>
    <t>Headphones, Desk Chair, Speaker, Mouse</t>
  </si>
  <si>
    <t>ORD-20240987</t>
  </si>
  <si>
    <t>Headphones, Printer, Laptop, Mouse, Speaker</t>
  </si>
  <si>
    <t>ORD-20240988</t>
  </si>
  <si>
    <t>Desk Lamp, Router, Headphones, Speaker, Webcam</t>
  </si>
  <si>
    <t>ORD-20240989</t>
  </si>
  <si>
    <t>Headphones, Printer, Desk Lamp, Keyboard</t>
  </si>
  <si>
    <t>ORD-20240990</t>
  </si>
  <si>
    <t>Headphones, Printer, Laptop, Smartphone</t>
  </si>
  <si>
    <t>ORD-20240991</t>
  </si>
  <si>
    <t>Laptop, Monitor, Speaker, Webcam, Projector</t>
  </si>
  <si>
    <t>ORD-20240992</t>
  </si>
  <si>
    <t>Laptop, Tablet, Desk Chair</t>
  </si>
  <si>
    <t>ORD-20240993</t>
  </si>
  <si>
    <t>Tablet, External Hard Drive, Webcam, Projector, Smartphone</t>
  </si>
  <si>
    <t>ORD-20240994</t>
  </si>
  <si>
    <t>External Hard Drive, Desk Chair, Laptop, Smart Watch</t>
  </si>
  <si>
    <t>ORD-20240995</t>
  </si>
  <si>
    <t>Router, Printer, Headphones</t>
  </si>
  <si>
    <t>ORD-20240996</t>
  </si>
  <si>
    <t>Keyboard, Tablet, Desk Lamp, Desk Chair</t>
  </si>
  <si>
    <t>ORD-20240997</t>
  </si>
  <si>
    <t>Smart Watch, Speaker, Printer, Keyboard</t>
  </si>
  <si>
    <t>ORD-20240998</t>
  </si>
  <si>
    <t>Webcam, Printer, Tablet, Headphones, Smartphone</t>
  </si>
  <si>
    <t>ORD-20240999</t>
  </si>
  <si>
    <t>Desk Lamp, Router, Webcam</t>
  </si>
  <si>
    <t>ORD-20241000</t>
  </si>
  <si>
    <t>Laptop, External Hard Drive, Desk Lamp, Desk Chair, Mouse</t>
  </si>
  <si>
    <t>PRODUCT NAME</t>
  </si>
  <si>
    <t>CUSTOMER SEGEMENT</t>
  </si>
  <si>
    <t>REGION</t>
  </si>
  <si>
    <t>PRODUCT NAMES</t>
  </si>
  <si>
    <t>CUSTOMER SEGMENT</t>
  </si>
  <si>
    <t>UNIT PRICE</t>
  </si>
  <si>
    <t>QUANTITY</t>
  </si>
  <si>
    <t>DISCOUNT</t>
  </si>
  <si>
    <t>SHIPPING COST</t>
  </si>
  <si>
    <t>Region</t>
  </si>
  <si>
    <t>Revenue</t>
  </si>
  <si>
    <t>Cost</t>
  </si>
  <si>
    <t>Order date</t>
  </si>
  <si>
    <t>REVENUE</t>
  </si>
  <si>
    <t>Laptop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</si>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</sst>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1" fillId="0" borderId="1" xfId="2" applyNumberFormat="1" applyFont="1" applyBorder="1" applyAlignment="1">
      <alignment horizontal="center" vertical="top"/>
    </xf>
    <xf numFmtId="0" fontId="0" fillId="0" borderId="0" xfId="2" applyNumberFormat="1" applyFont="1"/>
    <xf numFmtId="164" fontId="0" fillId="0" borderId="0" xfId="1" applyNumberFormat="1" applyFont="1"/>
    <xf numFmtId="16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575FC-B476-4B81-B5C9-3B5841A6FC0C}" name="SALES" displayName="SALES" ref="A1:K1001" totalsRowShown="0" headerRowDxfId="2" headerRowBorderDxfId="3" tableBorderDxfId="4">
  <autoFilter ref="A1:K1001" xr:uid="{CF4575FC-B476-4B81-B5C9-3B5841A6FC0C}"/>
  <tableColumns count="11">
    <tableColumn id="1" xr3:uid="{851B5C3F-B781-4101-92F7-59FD53E5EFB6}" name="Order ID"/>
    <tableColumn id="2" xr3:uid="{647C3ECE-409E-412A-BC75-24F6E657D1AF}" name="Customer Segment"/>
    <tableColumn id="3" xr3:uid="{0715312C-2417-46EB-83D2-ABAEFB434B0D}" name="Region"/>
    <tableColumn id="4" xr3:uid="{3FB40A33-2FBD-4219-9F39-043DF816EBCE}" name="Unit Price"/>
    <tableColumn id="5" xr3:uid="{098B0E74-ED62-4F8F-85F1-73ECE14923D8}" name="Quantity"/>
    <tableColumn id="6" xr3:uid="{8DCF3E68-BD0A-48FD-A09E-DD04C4460CA6}" name="Discount" dataDxfId="1" dataCellStyle="Percent"/>
    <tableColumn id="7" xr3:uid="{9E766736-07E8-403E-9CD5-ABF8BCA8EEA9}" name="Shipping Cost" dataCellStyle="Currency"/>
    <tableColumn id="8" xr3:uid="{0E46DA6F-4927-4CD4-860D-074A7F946690}" name="Order Date"/>
    <tableColumn id="9" xr3:uid="{546328BE-8A00-4C94-B076-FEE469D3754C}" name="Delivery Date"/>
    <tableColumn id="10" xr3:uid="{A6928AF6-D11B-4536-A01C-020E7095E5A7}" name="Product Name"/>
    <tableColumn id="11" xr3:uid="{5250E176-7AD4-47E9-834F-6A1D5D2768D0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opLeftCell="E1" workbookViewId="0">
      <selection activeCell="K2" sqref="K2"/>
    </sheetView>
  </sheetViews>
  <sheetFormatPr defaultRowHeight="14.5" x14ac:dyDescent="0.35"/>
  <cols>
    <col min="1" max="1" width="13.26953125" bestFit="1" customWidth="1"/>
    <col min="2" max="2" width="18.7265625" customWidth="1"/>
    <col min="3" max="3" width="9.54296875" customWidth="1"/>
    <col min="4" max="4" width="10.90625" customWidth="1"/>
    <col min="5" max="5" width="10.1796875" customWidth="1"/>
    <col min="6" max="6" width="10.1796875" style="6" customWidth="1"/>
    <col min="7" max="7" width="14.08984375" style="4" customWidth="1"/>
    <col min="8" max="8" width="12.1796875" customWidth="1"/>
    <col min="9" max="9" width="14" customWidth="1"/>
    <col min="10" max="10" width="58.453125" bestFit="1" customWidth="1"/>
  </cols>
  <sheetData>
    <row r="1" spans="1:11" x14ac:dyDescent="0.35">
      <c r="A1" s="1" t="s">
        <v>0</v>
      </c>
      <c r="B1" s="1" t="s">
        <v>1</v>
      </c>
      <c r="C1" s="2" t="s">
        <v>2397</v>
      </c>
      <c r="D1" s="1" t="s">
        <v>2</v>
      </c>
      <c r="E1" s="1" t="s">
        <v>3</v>
      </c>
      <c r="F1" s="5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2403</v>
      </c>
    </row>
    <row r="2" spans="1:11" x14ac:dyDescent="0.35">
      <c r="A2" t="s">
        <v>9</v>
      </c>
      <c r="B2" t="s">
        <v>10</v>
      </c>
      <c r="C2" t="s">
        <v>11</v>
      </c>
      <c r="D2">
        <v>269.10000000000002</v>
      </c>
      <c r="E2">
        <v>4</v>
      </c>
      <c r="F2" s="6">
        <v>6.68</v>
      </c>
      <c r="G2" s="4">
        <v>67.88</v>
      </c>
      <c r="H2" t="s">
        <v>12</v>
      </c>
      <c r="I2" t="s">
        <v>13</v>
      </c>
      <c r="J2" t="s">
        <v>14</v>
      </c>
    </row>
    <row r="3" spans="1:11" x14ac:dyDescent="0.35">
      <c r="A3" t="s">
        <v>15</v>
      </c>
      <c r="B3" t="s">
        <v>16</v>
      </c>
      <c r="C3" t="s">
        <v>17</v>
      </c>
      <c r="D3">
        <v>179.19</v>
      </c>
      <c r="E3">
        <v>3</v>
      </c>
      <c r="F3" s="6">
        <v>44.12</v>
      </c>
      <c r="G3" s="4">
        <v>35.85</v>
      </c>
      <c r="H3" t="s">
        <v>18</v>
      </c>
      <c r="I3" t="s">
        <v>19</v>
      </c>
      <c r="J3" t="s">
        <v>20</v>
      </c>
    </row>
    <row r="4" spans="1:11" x14ac:dyDescent="0.35">
      <c r="A4" t="s">
        <v>21</v>
      </c>
      <c r="B4" t="s">
        <v>10</v>
      </c>
      <c r="C4" t="s">
        <v>22</v>
      </c>
      <c r="D4">
        <v>187.5</v>
      </c>
      <c r="E4">
        <v>5</v>
      </c>
      <c r="F4" s="6">
        <v>42.06</v>
      </c>
      <c r="G4" s="4">
        <v>44.72</v>
      </c>
      <c r="H4" t="s">
        <v>23</v>
      </c>
      <c r="I4" t="s">
        <v>24</v>
      </c>
      <c r="J4" t="s">
        <v>25</v>
      </c>
    </row>
    <row r="5" spans="1:11" x14ac:dyDescent="0.35">
      <c r="A5" t="s">
        <v>26</v>
      </c>
      <c r="B5" t="s">
        <v>16</v>
      </c>
      <c r="C5" t="s">
        <v>27</v>
      </c>
      <c r="D5">
        <v>441.43</v>
      </c>
      <c r="E5">
        <v>5</v>
      </c>
      <c r="F5" s="6">
        <v>9.59</v>
      </c>
      <c r="G5" s="4">
        <v>89.03</v>
      </c>
      <c r="H5" t="s">
        <v>28</v>
      </c>
      <c r="I5" t="s">
        <v>29</v>
      </c>
      <c r="J5" t="s">
        <v>30</v>
      </c>
    </row>
    <row r="6" spans="1:11" x14ac:dyDescent="0.35">
      <c r="A6" t="s">
        <v>31</v>
      </c>
      <c r="B6" t="s">
        <v>16</v>
      </c>
      <c r="C6" t="s">
        <v>32</v>
      </c>
      <c r="D6">
        <v>416.22</v>
      </c>
      <c r="E6">
        <v>4</v>
      </c>
      <c r="F6" s="6">
        <v>20.82</v>
      </c>
      <c r="G6" s="4">
        <v>11.15</v>
      </c>
      <c r="H6" t="s">
        <v>33</v>
      </c>
      <c r="I6" t="s">
        <v>34</v>
      </c>
      <c r="J6" t="s">
        <v>35</v>
      </c>
    </row>
    <row r="7" spans="1:11" x14ac:dyDescent="0.35">
      <c r="A7" t="s">
        <v>36</v>
      </c>
      <c r="B7" t="s">
        <v>16</v>
      </c>
      <c r="C7" t="s">
        <v>37</v>
      </c>
      <c r="D7">
        <v>364.67</v>
      </c>
      <c r="E7">
        <v>5</v>
      </c>
      <c r="F7" s="6">
        <v>39.130000000000003</v>
      </c>
      <c r="G7" s="4">
        <v>56.89</v>
      </c>
      <c r="H7" t="s">
        <v>38</v>
      </c>
      <c r="I7" t="s">
        <v>39</v>
      </c>
      <c r="J7" t="s">
        <v>40</v>
      </c>
    </row>
    <row r="8" spans="1:11" x14ac:dyDescent="0.35">
      <c r="A8" t="s">
        <v>41</v>
      </c>
      <c r="B8" t="s">
        <v>42</v>
      </c>
      <c r="C8" t="s">
        <v>22</v>
      </c>
      <c r="D8">
        <v>262.08</v>
      </c>
      <c r="E8">
        <v>4</v>
      </c>
      <c r="F8" s="6">
        <v>47.95</v>
      </c>
      <c r="G8" s="4">
        <v>57.46</v>
      </c>
      <c r="H8" t="s">
        <v>43</v>
      </c>
      <c r="I8" t="s">
        <v>44</v>
      </c>
      <c r="J8" t="s">
        <v>45</v>
      </c>
    </row>
    <row r="9" spans="1:11" x14ac:dyDescent="0.35">
      <c r="A9" t="s">
        <v>46</v>
      </c>
      <c r="B9" t="s">
        <v>42</v>
      </c>
      <c r="C9" t="s">
        <v>47</v>
      </c>
      <c r="D9">
        <v>386.31</v>
      </c>
      <c r="E9">
        <v>5</v>
      </c>
      <c r="F9" s="6">
        <v>42.68</v>
      </c>
      <c r="G9" s="4">
        <v>51.49</v>
      </c>
      <c r="H9" t="s">
        <v>48</v>
      </c>
      <c r="I9" t="s">
        <v>49</v>
      </c>
      <c r="J9" t="s">
        <v>50</v>
      </c>
    </row>
    <row r="10" spans="1:11" x14ac:dyDescent="0.35">
      <c r="A10" t="s">
        <v>51</v>
      </c>
      <c r="B10" t="s">
        <v>10</v>
      </c>
      <c r="C10" t="s">
        <v>27</v>
      </c>
      <c r="D10">
        <v>185.56</v>
      </c>
      <c r="E10">
        <v>4</v>
      </c>
      <c r="F10" s="6">
        <v>16.37</v>
      </c>
      <c r="G10" s="4">
        <v>41.68</v>
      </c>
      <c r="H10" t="s">
        <v>52</v>
      </c>
      <c r="I10" t="s">
        <v>53</v>
      </c>
      <c r="J10" t="s">
        <v>54</v>
      </c>
    </row>
    <row r="11" spans="1:11" x14ac:dyDescent="0.35">
      <c r="A11" t="s">
        <v>55</v>
      </c>
      <c r="B11" t="s">
        <v>42</v>
      </c>
      <c r="C11" t="s">
        <v>56</v>
      </c>
      <c r="D11">
        <v>310.89</v>
      </c>
      <c r="E11">
        <v>5</v>
      </c>
      <c r="F11" s="6">
        <v>2.2799999999999998</v>
      </c>
      <c r="G11" s="4">
        <v>14.34</v>
      </c>
      <c r="H11" t="s">
        <v>57</v>
      </c>
      <c r="I11" t="s">
        <v>58</v>
      </c>
      <c r="J11" t="s">
        <v>59</v>
      </c>
    </row>
    <row r="12" spans="1:11" x14ac:dyDescent="0.35">
      <c r="A12" t="s">
        <v>60</v>
      </c>
      <c r="B12" t="s">
        <v>10</v>
      </c>
      <c r="C12" t="s">
        <v>61</v>
      </c>
      <c r="D12">
        <v>50.25</v>
      </c>
      <c r="E12">
        <v>3</v>
      </c>
      <c r="F12" s="6">
        <v>14.59</v>
      </c>
      <c r="G12" s="4">
        <v>80.09</v>
      </c>
      <c r="H12" t="s">
        <v>62</v>
      </c>
      <c r="I12" t="s">
        <v>63</v>
      </c>
      <c r="J12" t="s">
        <v>64</v>
      </c>
    </row>
    <row r="13" spans="1:11" x14ac:dyDescent="0.35">
      <c r="A13" t="s">
        <v>65</v>
      </c>
      <c r="B13" t="s">
        <v>10</v>
      </c>
      <c r="C13" t="s">
        <v>27</v>
      </c>
      <c r="D13">
        <v>393.11</v>
      </c>
      <c r="E13">
        <v>5</v>
      </c>
      <c r="F13" s="6">
        <v>7.17</v>
      </c>
      <c r="G13" s="4">
        <v>96.13</v>
      </c>
      <c r="H13" t="s">
        <v>66</v>
      </c>
      <c r="I13" t="s">
        <v>67</v>
      </c>
      <c r="J13" t="s">
        <v>68</v>
      </c>
    </row>
    <row r="14" spans="1:11" x14ac:dyDescent="0.35">
      <c r="A14" t="s">
        <v>69</v>
      </c>
      <c r="B14" t="s">
        <v>16</v>
      </c>
      <c r="C14" t="s">
        <v>47</v>
      </c>
      <c r="D14">
        <v>395.19</v>
      </c>
      <c r="E14">
        <v>4</v>
      </c>
      <c r="F14" s="6">
        <v>12.31</v>
      </c>
      <c r="G14" s="4">
        <v>63.63</v>
      </c>
      <c r="H14" t="s">
        <v>70</v>
      </c>
      <c r="I14" t="s">
        <v>71</v>
      </c>
      <c r="J14" t="s">
        <v>72</v>
      </c>
    </row>
    <row r="15" spans="1:11" x14ac:dyDescent="0.35">
      <c r="A15" t="s">
        <v>73</v>
      </c>
      <c r="B15" t="s">
        <v>42</v>
      </c>
      <c r="C15" t="s">
        <v>47</v>
      </c>
      <c r="D15">
        <v>93.97</v>
      </c>
      <c r="E15">
        <v>3</v>
      </c>
      <c r="F15" s="6">
        <v>9.93</v>
      </c>
      <c r="G15" s="4">
        <v>41.63</v>
      </c>
      <c r="H15" t="s">
        <v>74</v>
      </c>
      <c r="I15" t="s">
        <v>75</v>
      </c>
      <c r="J15" t="s">
        <v>76</v>
      </c>
    </row>
    <row r="16" spans="1:11" x14ac:dyDescent="0.35">
      <c r="A16" t="s">
        <v>77</v>
      </c>
      <c r="B16" t="s">
        <v>10</v>
      </c>
      <c r="C16" t="s">
        <v>56</v>
      </c>
      <c r="D16">
        <v>299.38</v>
      </c>
      <c r="E16">
        <v>4</v>
      </c>
      <c r="F16" s="6">
        <v>41.94</v>
      </c>
      <c r="G16" s="4">
        <v>90.63</v>
      </c>
      <c r="H16" t="s">
        <v>78</v>
      </c>
      <c r="I16" t="s">
        <v>79</v>
      </c>
      <c r="J16" t="s">
        <v>80</v>
      </c>
    </row>
    <row r="17" spans="1:10" x14ac:dyDescent="0.35">
      <c r="A17" t="s">
        <v>81</v>
      </c>
      <c r="B17" t="s">
        <v>10</v>
      </c>
      <c r="C17" t="s">
        <v>47</v>
      </c>
      <c r="D17">
        <v>286.45</v>
      </c>
      <c r="E17">
        <v>3</v>
      </c>
      <c r="F17" s="6">
        <v>37.69</v>
      </c>
      <c r="G17" s="4">
        <v>46.75</v>
      </c>
      <c r="H17" t="s">
        <v>82</v>
      </c>
      <c r="I17" t="s">
        <v>33</v>
      </c>
      <c r="J17" t="s">
        <v>83</v>
      </c>
    </row>
    <row r="18" spans="1:10" x14ac:dyDescent="0.35">
      <c r="A18" t="s">
        <v>84</v>
      </c>
      <c r="B18" t="s">
        <v>42</v>
      </c>
      <c r="C18" t="s">
        <v>37</v>
      </c>
      <c r="D18">
        <v>281.63</v>
      </c>
      <c r="E18">
        <v>4</v>
      </c>
      <c r="F18" s="6">
        <v>33.409999999999997</v>
      </c>
      <c r="G18" s="4">
        <v>23.95</v>
      </c>
      <c r="H18" t="s">
        <v>85</v>
      </c>
      <c r="I18" t="s">
        <v>86</v>
      </c>
      <c r="J18" t="s">
        <v>87</v>
      </c>
    </row>
    <row r="19" spans="1:10" x14ac:dyDescent="0.35">
      <c r="A19" t="s">
        <v>88</v>
      </c>
      <c r="B19" t="s">
        <v>42</v>
      </c>
      <c r="C19" t="s">
        <v>89</v>
      </c>
      <c r="D19">
        <v>90.67</v>
      </c>
      <c r="E19">
        <v>5</v>
      </c>
      <c r="F19" s="6">
        <v>49.09</v>
      </c>
      <c r="G19" s="4">
        <v>44.09</v>
      </c>
      <c r="H19" t="s">
        <v>90</v>
      </c>
      <c r="I19" t="s">
        <v>91</v>
      </c>
      <c r="J19" t="s">
        <v>92</v>
      </c>
    </row>
    <row r="20" spans="1:10" x14ac:dyDescent="0.35">
      <c r="A20" t="s">
        <v>93</v>
      </c>
      <c r="B20" t="s">
        <v>42</v>
      </c>
      <c r="C20" t="s">
        <v>61</v>
      </c>
      <c r="D20">
        <v>64.06</v>
      </c>
      <c r="E20">
        <v>4</v>
      </c>
      <c r="F20" s="6">
        <v>16.57</v>
      </c>
      <c r="G20" s="4">
        <v>78.900000000000006</v>
      </c>
      <c r="H20" t="s">
        <v>94</v>
      </c>
      <c r="I20" t="s">
        <v>95</v>
      </c>
      <c r="J20" t="s">
        <v>96</v>
      </c>
    </row>
    <row r="21" spans="1:10" x14ac:dyDescent="0.35">
      <c r="A21" t="s">
        <v>97</v>
      </c>
      <c r="B21" t="s">
        <v>10</v>
      </c>
      <c r="C21" t="s">
        <v>11</v>
      </c>
      <c r="D21">
        <v>112.15</v>
      </c>
      <c r="E21">
        <v>3</v>
      </c>
      <c r="F21" s="6">
        <v>38.4</v>
      </c>
      <c r="G21" s="4">
        <v>47.39</v>
      </c>
      <c r="H21" t="s">
        <v>13</v>
      </c>
      <c r="I21" t="s">
        <v>98</v>
      </c>
      <c r="J21" t="s">
        <v>99</v>
      </c>
    </row>
    <row r="22" spans="1:10" x14ac:dyDescent="0.35">
      <c r="A22" t="s">
        <v>100</v>
      </c>
      <c r="B22" t="s">
        <v>10</v>
      </c>
      <c r="C22" t="s">
        <v>27</v>
      </c>
      <c r="D22">
        <v>413.91</v>
      </c>
      <c r="E22">
        <v>3</v>
      </c>
      <c r="F22" s="6">
        <v>31.11</v>
      </c>
      <c r="G22" s="4">
        <v>65.989999999999995</v>
      </c>
      <c r="H22" t="s">
        <v>101</v>
      </c>
      <c r="I22" t="s">
        <v>102</v>
      </c>
      <c r="J22" t="s">
        <v>103</v>
      </c>
    </row>
    <row r="23" spans="1:10" x14ac:dyDescent="0.35">
      <c r="A23" t="s">
        <v>104</v>
      </c>
      <c r="B23" t="s">
        <v>16</v>
      </c>
      <c r="C23" t="s">
        <v>37</v>
      </c>
      <c r="D23">
        <v>460.97</v>
      </c>
      <c r="E23">
        <v>5</v>
      </c>
      <c r="F23" s="6">
        <v>23.68</v>
      </c>
      <c r="G23" s="4">
        <v>64.78</v>
      </c>
      <c r="H23" t="s">
        <v>105</v>
      </c>
      <c r="I23" t="s">
        <v>106</v>
      </c>
      <c r="J23" t="s">
        <v>107</v>
      </c>
    </row>
    <row r="24" spans="1:10" x14ac:dyDescent="0.35">
      <c r="A24" t="s">
        <v>108</v>
      </c>
      <c r="B24" t="s">
        <v>10</v>
      </c>
      <c r="C24" t="s">
        <v>17</v>
      </c>
      <c r="D24">
        <v>349.54</v>
      </c>
      <c r="E24">
        <v>3</v>
      </c>
      <c r="F24" s="6">
        <v>25.07</v>
      </c>
      <c r="G24" s="4">
        <v>32.33</v>
      </c>
      <c r="H24" t="s">
        <v>109</v>
      </c>
      <c r="I24" t="s">
        <v>110</v>
      </c>
      <c r="J24" t="s">
        <v>111</v>
      </c>
    </row>
    <row r="25" spans="1:10" x14ac:dyDescent="0.35">
      <c r="A25" t="s">
        <v>112</v>
      </c>
      <c r="B25" t="s">
        <v>10</v>
      </c>
      <c r="C25" t="s">
        <v>27</v>
      </c>
      <c r="D25">
        <v>462.85</v>
      </c>
      <c r="E25">
        <v>5</v>
      </c>
      <c r="F25" s="6">
        <v>8.02</v>
      </c>
      <c r="G25" s="4">
        <v>61.28</v>
      </c>
      <c r="H25" t="s">
        <v>113</v>
      </c>
      <c r="I25" t="s">
        <v>114</v>
      </c>
      <c r="J25" t="s">
        <v>115</v>
      </c>
    </row>
    <row r="26" spans="1:10" x14ac:dyDescent="0.35">
      <c r="A26" t="s">
        <v>116</v>
      </c>
      <c r="B26" t="s">
        <v>16</v>
      </c>
      <c r="C26" t="s">
        <v>17</v>
      </c>
      <c r="D26">
        <v>321.77</v>
      </c>
      <c r="E26">
        <v>3</v>
      </c>
      <c r="F26" s="6">
        <v>34.92</v>
      </c>
      <c r="G26" s="4">
        <v>32.47</v>
      </c>
      <c r="H26" t="s">
        <v>117</v>
      </c>
      <c r="I26" t="s">
        <v>118</v>
      </c>
      <c r="J26" t="s">
        <v>119</v>
      </c>
    </row>
    <row r="27" spans="1:10" x14ac:dyDescent="0.35">
      <c r="A27" t="s">
        <v>120</v>
      </c>
      <c r="B27" t="s">
        <v>42</v>
      </c>
      <c r="C27" t="s">
        <v>11</v>
      </c>
      <c r="D27">
        <v>268</v>
      </c>
      <c r="E27">
        <v>5</v>
      </c>
      <c r="F27" s="6">
        <v>30.25</v>
      </c>
      <c r="G27" s="4">
        <v>47.57</v>
      </c>
      <c r="H27" t="s">
        <v>121</v>
      </c>
      <c r="I27" t="s">
        <v>101</v>
      </c>
      <c r="J27" t="s">
        <v>122</v>
      </c>
    </row>
    <row r="28" spans="1:10" x14ac:dyDescent="0.35">
      <c r="A28" t="s">
        <v>123</v>
      </c>
      <c r="B28" t="s">
        <v>16</v>
      </c>
      <c r="C28" t="s">
        <v>56</v>
      </c>
      <c r="D28">
        <v>257.62</v>
      </c>
      <c r="E28">
        <v>5</v>
      </c>
      <c r="F28" s="6">
        <v>30.5</v>
      </c>
      <c r="G28" s="4">
        <v>64.290000000000006</v>
      </c>
      <c r="H28" t="s">
        <v>124</v>
      </c>
      <c r="I28" t="s">
        <v>125</v>
      </c>
      <c r="J28" t="s">
        <v>126</v>
      </c>
    </row>
    <row r="29" spans="1:10" x14ac:dyDescent="0.35">
      <c r="A29" t="s">
        <v>127</v>
      </c>
      <c r="B29" t="s">
        <v>42</v>
      </c>
      <c r="C29" t="s">
        <v>17</v>
      </c>
      <c r="D29">
        <v>233.87</v>
      </c>
      <c r="E29">
        <v>4</v>
      </c>
      <c r="F29" s="6">
        <v>12.11</v>
      </c>
      <c r="G29" s="4">
        <v>99.92</v>
      </c>
      <c r="H29" t="s">
        <v>128</v>
      </c>
      <c r="I29" t="s">
        <v>129</v>
      </c>
      <c r="J29" t="s">
        <v>130</v>
      </c>
    </row>
    <row r="30" spans="1:10" x14ac:dyDescent="0.35">
      <c r="A30" t="s">
        <v>131</v>
      </c>
      <c r="B30" t="s">
        <v>10</v>
      </c>
      <c r="C30" t="s">
        <v>17</v>
      </c>
      <c r="D30">
        <v>397.35</v>
      </c>
      <c r="E30">
        <v>3</v>
      </c>
      <c r="F30" s="6">
        <v>40.590000000000003</v>
      </c>
      <c r="G30" s="4">
        <v>21.48</v>
      </c>
      <c r="H30" t="s">
        <v>132</v>
      </c>
      <c r="I30" t="s">
        <v>66</v>
      </c>
      <c r="J30" t="s">
        <v>133</v>
      </c>
    </row>
    <row r="31" spans="1:10" x14ac:dyDescent="0.35">
      <c r="A31" t="s">
        <v>134</v>
      </c>
      <c r="B31" t="s">
        <v>16</v>
      </c>
      <c r="C31" t="s">
        <v>47</v>
      </c>
      <c r="D31">
        <v>393.73</v>
      </c>
      <c r="E31">
        <v>5</v>
      </c>
      <c r="F31" s="6">
        <v>31.9</v>
      </c>
      <c r="G31" s="4">
        <v>46.13</v>
      </c>
      <c r="H31" t="s">
        <v>135</v>
      </c>
      <c r="I31" t="s">
        <v>136</v>
      </c>
      <c r="J31" t="s">
        <v>137</v>
      </c>
    </row>
    <row r="32" spans="1:10" x14ac:dyDescent="0.35">
      <c r="A32" t="s">
        <v>138</v>
      </c>
      <c r="B32" t="s">
        <v>16</v>
      </c>
      <c r="C32" t="s">
        <v>61</v>
      </c>
      <c r="D32">
        <v>70.66</v>
      </c>
      <c r="E32">
        <v>3</v>
      </c>
      <c r="F32" s="6">
        <v>43.35</v>
      </c>
      <c r="G32" s="4">
        <v>82.06</v>
      </c>
      <c r="H32" t="s">
        <v>139</v>
      </c>
      <c r="I32" t="s">
        <v>140</v>
      </c>
      <c r="J32" t="s">
        <v>141</v>
      </c>
    </row>
    <row r="33" spans="1:10" x14ac:dyDescent="0.35">
      <c r="A33" t="s">
        <v>142</v>
      </c>
      <c r="B33" t="s">
        <v>16</v>
      </c>
      <c r="C33" t="s">
        <v>47</v>
      </c>
      <c r="D33">
        <v>90.48</v>
      </c>
      <c r="E33">
        <v>5</v>
      </c>
      <c r="F33" s="6">
        <v>10.35</v>
      </c>
      <c r="G33" s="4">
        <v>23.48</v>
      </c>
      <c r="H33" t="s">
        <v>143</v>
      </c>
      <c r="I33" t="s">
        <v>140</v>
      </c>
      <c r="J33" t="s">
        <v>144</v>
      </c>
    </row>
    <row r="34" spans="1:10" x14ac:dyDescent="0.35">
      <c r="A34" t="s">
        <v>145</v>
      </c>
      <c r="B34" t="s">
        <v>42</v>
      </c>
      <c r="C34" t="s">
        <v>32</v>
      </c>
      <c r="D34">
        <v>121.66</v>
      </c>
      <c r="E34">
        <v>5</v>
      </c>
      <c r="F34" s="6">
        <v>7.93</v>
      </c>
      <c r="G34" s="4">
        <v>55.67</v>
      </c>
      <c r="H34" t="s">
        <v>146</v>
      </c>
      <c r="I34" t="s">
        <v>147</v>
      </c>
      <c r="J34" t="s">
        <v>148</v>
      </c>
    </row>
    <row r="35" spans="1:10" x14ac:dyDescent="0.35">
      <c r="A35" t="s">
        <v>149</v>
      </c>
      <c r="B35" t="s">
        <v>16</v>
      </c>
      <c r="C35" t="s">
        <v>17</v>
      </c>
      <c r="D35">
        <v>335.25</v>
      </c>
      <c r="E35">
        <v>5</v>
      </c>
      <c r="F35" s="6">
        <v>11.02</v>
      </c>
      <c r="G35" s="4">
        <v>20.97</v>
      </c>
      <c r="H35" t="s">
        <v>150</v>
      </c>
      <c r="I35" t="s">
        <v>151</v>
      </c>
      <c r="J35" t="s">
        <v>152</v>
      </c>
    </row>
    <row r="36" spans="1:10" x14ac:dyDescent="0.35">
      <c r="A36" t="s">
        <v>153</v>
      </c>
      <c r="B36" t="s">
        <v>42</v>
      </c>
      <c r="C36" t="s">
        <v>47</v>
      </c>
      <c r="D36">
        <v>61.15</v>
      </c>
      <c r="E36">
        <v>3</v>
      </c>
      <c r="F36" s="6">
        <v>36.64</v>
      </c>
      <c r="G36" s="4">
        <v>94.42</v>
      </c>
      <c r="H36" t="s">
        <v>154</v>
      </c>
      <c r="I36" t="s">
        <v>155</v>
      </c>
      <c r="J36" t="s">
        <v>156</v>
      </c>
    </row>
    <row r="37" spans="1:10" x14ac:dyDescent="0.35">
      <c r="A37" t="s">
        <v>157</v>
      </c>
      <c r="B37" t="s">
        <v>16</v>
      </c>
      <c r="C37" t="s">
        <v>56</v>
      </c>
      <c r="D37">
        <v>409.15</v>
      </c>
      <c r="E37">
        <v>3</v>
      </c>
      <c r="F37" s="6">
        <v>32.659999999999997</v>
      </c>
      <c r="G37" s="4">
        <v>21.74</v>
      </c>
      <c r="H37" t="s">
        <v>158</v>
      </c>
      <c r="I37" t="s">
        <v>109</v>
      </c>
      <c r="J37" t="s">
        <v>159</v>
      </c>
    </row>
    <row r="38" spans="1:10" x14ac:dyDescent="0.35">
      <c r="A38" t="s">
        <v>160</v>
      </c>
      <c r="B38" t="s">
        <v>42</v>
      </c>
      <c r="C38" t="s">
        <v>47</v>
      </c>
      <c r="D38">
        <v>342.55</v>
      </c>
      <c r="E38">
        <v>3</v>
      </c>
      <c r="F38" s="6">
        <v>47.93</v>
      </c>
      <c r="G38" s="4">
        <v>55.87</v>
      </c>
      <c r="H38" t="s">
        <v>161</v>
      </c>
      <c r="I38" t="s">
        <v>162</v>
      </c>
      <c r="J38" t="s">
        <v>163</v>
      </c>
    </row>
    <row r="39" spans="1:10" x14ac:dyDescent="0.35">
      <c r="A39" t="s">
        <v>164</v>
      </c>
      <c r="B39" t="s">
        <v>42</v>
      </c>
      <c r="C39" t="s">
        <v>89</v>
      </c>
      <c r="D39">
        <v>79.16</v>
      </c>
      <c r="E39">
        <v>4</v>
      </c>
      <c r="F39" s="6">
        <v>48.91</v>
      </c>
      <c r="G39" s="4">
        <v>48.31</v>
      </c>
      <c r="H39" t="s">
        <v>124</v>
      </c>
      <c r="I39" t="s">
        <v>165</v>
      </c>
      <c r="J39" t="s">
        <v>166</v>
      </c>
    </row>
    <row r="40" spans="1:10" x14ac:dyDescent="0.35">
      <c r="A40" t="s">
        <v>167</v>
      </c>
      <c r="B40" t="s">
        <v>16</v>
      </c>
      <c r="C40" t="s">
        <v>27</v>
      </c>
      <c r="D40">
        <v>192.16</v>
      </c>
      <c r="E40">
        <v>5</v>
      </c>
      <c r="F40" s="6">
        <v>26.65</v>
      </c>
      <c r="G40" s="4">
        <v>61.26</v>
      </c>
      <c r="H40" t="s">
        <v>168</v>
      </c>
      <c r="I40" t="s">
        <v>150</v>
      </c>
      <c r="J40" t="s">
        <v>169</v>
      </c>
    </row>
    <row r="41" spans="1:10" x14ac:dyDescent="0.35">
      <c r="A41" t="s">
        <v>170</v>
      </c>
      <c r="B41" t="s">
        <v>10</v>
      </c>
      <c r="C41" t="s">
        <v>89</v>
      </c>
      <c r="D41">
        <v>403</v>
      </c>
      <c r="E41">
        <v>5</v>
      </c>
      <c r="F41" s="6">
        <v>48.96</v>
      </c>
      <c r="G41" s="4">
        <v>16.63</v>
      </c>
      <c r="H41" t="s">
        <v>171</v>
      </c>
      <c r="I41" t="s">
        <v>172</v>
      </c>
      <c r="J41" t="s">
        <v>173</v>
      </c>
    </row>
    <row r="42" spans="1:10" x14ac:dyDescent="0.35">
      <c r="A42" t="s">
        <v>174</v>
      </c>
      <c r="B42" t="s">
        <v>10</v>
      </c>
      <c r="C42" t="s">
        <v>11</v>
      </c>
      <c r="D42">
        <v>269.73</v>
      </c>
      <c r="E42">
        <v>4</v>
      </c>
      <c r="F42" s="6">
        <v>0.23</v>
      </c>
      <c r="G42" s="4">
        <v>43.32</v>
      </c>
      <c r="H42" t="s">
        <v>175</v>
      </c>
      <c r="I42" t="s">
        <v>176</v>
      </c>
      <c r="J42" t="s">
        <v>177</v>
      </c>
    </row>
    <row r="43" spans="1:10" x14ac:dyDescent="0.35">
      <c r="A43" t="s">
        <v>178</v>
      </c>
      <c r="B43" t="s">
        <v>10</v>
      </c>
      <c r="C43" t="s">
        <v>89</v>
      </c>
      <c r="D43">
        <v>60.86</v>
      </c>
      <c r="E43">
        <v>3</v>
      </c>
      <c r="F43" s="6">
        <v>48.29</v>
      </c>
      <c r="G43" s="4">
        <v>54.26</v>
      </c>
      <c r="H43" t="s">
        <v>179</v>
      </c>
      <c r="I43" t="s">
        <v>82</v>
      </c>
      <c r="J43" t="s">
        <v>180</v>
      </c>
    </row>
    <row r="44" spans="1:10" x14ac:dyDescent="0.35">
      <c r="A44" t="s">
        <v>181</v>
      </c>
      <c r="B44" t="s">
        <v>42</v>
      </c>
      <c r="C44" t="s">
        <v>61</v>
      </c>
      <c r="D44">
        <v>252.99</v>
      </c>
      <c r="E44">
        <v>5</v>
      </c>
      <c r="F44" s="6">
        <v>22.28</v>
      </c>
      <c r="G44" s="4">
        <v>38.11</v>
      </c>
      <c r="H44" t="s">
        <v>182</v>
      </c>
      <c r="I44" t="s">
        <v>183</v>
      </c>
      <c r="J44" t="s">
        <v>184</v>
      </c>
    </row>
    <row r="45" spans="1:10" x14ac:dyDescent="0.35">
      <c r="A45" t="s">
        <v>185</v>
      </c>
      <c r="B45" t="s">
        <v>42</v>
      </c>
      <c r="C45" t="s">
        <v>47</v>
      </c>
      <c r="D45">
        <v>106.5</v>
      </c>
      <c r="E45">
        <v>5</v>
      </c>
      <c r="F45" s="6">
        <v>36.49</v>
      </c>
      <c r="G45" s="4">
        <v>51.28</v>
      </c>
      <c r="H45" t="s">
        <v>172</v>
      </c>
      <c r="I45" t="s">
        <v>186</v>
      </c>
      <c r="J45" t="s">
        <v>187</v>
      </c>
    </row>
    <row r="46" spans="1:10" x14ac:dyDescent="0.35">
      <c r="A46" t="s">
        <v>188</v>
      </c>
      <c r="B46" t="s">
        <v>42</v>
      </c>
      <c r="C46" t="s">
        <v>47</v>
      </c>
      <c r="D46">
        <v>345.48</v>
      </c>
      <c r="E46">
        <v>3</v>
      </c>
      <c r="F46" s="6">
        <v>7.37</v>
      </c>
      <c r="G46" s="4">
        <v>27.91</v>
      </c>
      <c r="H46" t="s">
        <v>189</v>
      </c>
      <c r="I46" t="s">
        <v>70</v>
      </c>
      <c r="J46" t="s">
        <v>190</v>
      </c>
    </row>
    <row r="47" spans="1:10" x14ac:dyDescent="0.35">
      <c r="A47" t="s">
        <v>191</v>
      </c>
      <c r="B47" t="s">
        <v>42</v>
      </c>
      <c r="C47" t="s">
        <v>27</v>
      </c>
      <c r="D47">
        <v>497.81</v>
      </c>
      <c r="E47">
        <v>3</v>
      </c>
      <c r="F47" s="6">
        <v>11.35</v>
      </c>
      <c r="G47" s="4">
        <v>31.53</v>
      </c>
      <c r="H47" t="s">
        <v>192</v>
      </c>
      <c r="I47" t="s">
        <v>193</v>
      </c>
      <c r="J47" t="s">
        <v>194</v>
      </c>
    </row>
    <row r="48" spans="1:10" x14ac:dyDescent="0.35">
      <c r="A48" t="s">
        <v>195</v>
      </c>
      <c r="B48" t="s">
        <v>16</v>
      </c>
      <c r="C48" t="s">
        <v>17</v>
      </c>
      <c r="D48">
        <v>355.23</v>
      </c>
      <c r="E48">
        <v>5</v>
      </c>
      <c r="F48" s="6">
        <v>6.51</v>
      </c>
      <c r="G48" s="4">
        <v>10.95</v>
      </c>
      <c r="H48" t="s">
        <v>182</v>
      </c>
      <c r="I48" t="s">
        <v>196</v>
      </c>
      <c r="J48" t="s">
        <v>197</v>
      </c>
    </row>
    <row r="49" spans="1:10" x14ac:dyDescent="0.35">
      <c r="A49" t="s">
        <v>198</v>
      </c>
      <c r="B49" t="s">
        <v>16</v>
      </c>
      <c r="C49" t="s">
        <v>17</v>
      </c>
      <c r="D49">
        <v>269.32</v>
      </c>
      <c r="E49">
        <v>3</v>
      </c>
      <c r="F49" s="6">
        <v>48.52</v>
      </c>
      <c r="G49" s="4">
        <v>40.659999999999997</v>
      </c>
      <c r="H49" t="s">
        <v>44</v>
      </c>
      <c r="I49" t="s">
        <v>199</v>
      </c>
      <c r="J49" t="s">
        <v>200</v>
      </c>
    </row>
    <row r="50" spans="1:10" x14ac:dyDescent="0.35">
      <c r="A50" t="s">
        <v>201</v>
      </c>
      <c r="B50" t="s">
        <v>16</v>
      </c>
      <c r="C50" t="s">
        <v>56</v>
      </c>
      <c r="D50">
        <v>398.6</v>
      </c>
      <c r="E50">
        <v>5</v>
      </c>
      <c r="F50" s="6">
        <v>44.56</v>
      </c>
      <c r="G50" s="4">
        <v>15.38</v>
      </c>
      <c r="H50" t="s">
        <v>202</v>
      </c>
      <c r="I50" t="s">
        <v>176</v>
      </c>
      <c r="J50" t="s">
        <v>203</v>
      </c>
    </row>
    <row r="51" spans="1:10" x14ac:dyDescent="0.35">
      <c r="A51" t="s">
        <v>204</v>
      </c>
      <c r="B51" t="s">
        <v>10</v>
      </c>
      <c r="C51" t="s">
        <v>11</v>
      </c>
      <c r="D51">
        <v>324.39999999999998</v>
      </c>
      <c r="E51">
        <v>5</v>
      </c>
      <c r="F51" s="6">
        <v>44.34</v>
      </c>
      <c r="G51" s="4">
        <v>47.83</v>
      </c>
      <c r="H51" t="s">
        <v>205</v>
      </c>
      <c r="I51" t="s">
        <v>206</v>
      </c>
      <c r="J51" t="s">
        <v>207</v>
      </c>
    </row>
    <row r="52" spans="1:10" x14ac:dyDescent="0.35">
      <c r="A52" t="s">
        <v>208</v>
      </c>
      <c r="B52" t="s">
        <v>42</v>
      </c>
      <c r="C52" t="s">
        <v>89</v>
      </c>
      <c r="D52">
        <v>346.94</v>
      </c>
      <c r="E52">
        <v>5</v>
      </c>
      <c r="F52" s="6">
        <v>10.66</v>
      </c>
      <c r="G52" s="4">
        <v>97.6</v>
      </c>
      <c r="H52" t="s">
        <v>209</v>
      </c>
      <c r="I52" t="s">
        <v>210</v>
      </c>
      <c r="J52" t="s">
        <v>211</v>
      </c>
    </row>
    <row r="53" spans="1:10" x14ac:dyDescent="0.35">
      <c r="A53" t="s">
        <v>212</v>
      </c>
      <c r="B53" t="s">
        <v>16</v>
      </c>
      <c r="C53" t="s">
        <v>27</v>
      </c>
      <c r="D53">
        <v>393.18</v>
      </c>
      <c r="E53">
        <v>4</v>
      </c>
      <c r="F53" s="6">
        <v>30.37</v>
      </c>
      <c r="G53" s="4">
        <v>89.85</v>
      </c>
      <c r="H53" t="s">
        <v>213</v>
      </c>
      <c r="I53" t="s">
        <v>49</v>
      </c>
      <c r="J53" t="s">
        <v>214</v>
      </c>
    </row>
    <row r="54" spans="1:10" x14ac:dyDescent="0.35">
      <c r="A54" t="s">
        <v>215</v>
      </c>
      <c r="B54" t="s">
        <v>10</v>
      </c>
      <c r="C54" t="s">
        <v>32</v>
      </c>
      <c r="D54">
        <v>88.86</v>
      </c>
      <c r="E54">
        <v>4</v>
      </c>
      <c r="F54" s="6">
        <v>24.87</v>
      </c>
      <c r="G54" s="4">
        <v>58.95</v>
      </c>
      <c r="H54" t="s">
        <v>216</v>
      </c>
      <c r="I54" t="s">
        <v>217</v>
      </c>
      <c r="J54" t="s">
        <v>218</v>
      </c>
    </row>
    <row r="55" spans="1:10" x14ac:dyDescent="0.35">
      <c r="A55" t="s">
        <v>219</v>
      </c>
      <c r="B55" t="s">
        <v>42</v>
      </c>
      <c r="C55" t="s">
        <v>22</v>
      </c>
      <c r="D55">
        <v>70.59</v>
      </c>
      <c r="E55">
        <v>5</v>
      </c>
      <c r="F55" s="6">
        <v>10.35</v>
      </c>
      <c r="G55" s="4">
        <v>18.53</v>
      </c>
      <c r="H55" t="s">
        <v>220</v>
      </c>
      <c r="I55" t="s">
        <v>221</v>
      </c>
      <c r="J55" t="s">
        <v>222</v>
      </c>
    </row>
    <row r="56" spans="1:10" x14ac:dyDescent="0.35">
      <c r="A56" t="s">
        <v>223</v>
      </c>
      <c r="B56" t="s">
        <v>42</v>
      </c>
      <c r="C56" t="s">
        <v>32</v>
      </c>
      <c r="D56">
        <v>191.38</v>
      </c>
      <c r="E56">
        <v>4</v>
      </c>
      <c r="F56" s="6">
        <v>12</v>
      </c>
      <c r="G56" s="4">
        <v>70.849999999999994</v>
      </c>
      <c r="H56" t="s">
        <v>224</v>
      </c>
      <c r="I56" t="s">
        <v>225</v>
      </c>
      <c r="J56" t="s">
        <v>226</v>
      </c>
    </row>
    <row r="57" spans="1:10" x14ac:dyDescent="0.35">
      <c r="A57" t="s">
        <v>227</v>
      </c>
      <c r="B57" t="s">
        <v>42</v>
      </c>
      <c r="C57" t="s">
        <v>56</v>
      </c>
      <c r="D57">
        <v>265.77999999999997</v>
      </c>
      <c r="E57">
        <v>5</v>
      </c>
      <c r="F57" s="6">
        <v>18.22</v>
      </c>
      <c r="G57" s="4">
        <v>83.01</v>
      </c>
      <c r="H57" t="s">
        <v>82</v>
      </c>
      <c r="I57" t="s">
        <v>146</v>
      </c>
      <c r="J57" t="s">
        <v>228</v>
      </c>
    </row>
    <row r="58" spans="1:10" x14ac:dyDescent="0.35">
      <c r="A58" t="s">
        <v>229</v>
      </c>
      <c r="B58" t="s">
        <v>42</v>
      </c>
      <c r="C58" t="s">
        <v>61</v>
      </c>
      <c r="D58">
        <v>120.28</v>
      </c>
      <c r="E58">
        <v>5</v>
      </c>
      <c r="F58" s="6">
        <v>5.83</v>
      </c>
      <c r="G58" s="4">
        <v>69.48</v>
      </c>
      <c r="H58" t="s">
        <v>33</v>
      </c>
      <c r="I58" t="s">
        <v>230</v>
      </c>
      <c r="J58" t="s">
        <v>231</v>
      </c>
    </row>
    <row r="59" spans="1:10" x14ac:dyDescent="0.35">
      <c r="A59" t="s">
        <v>232</v>
      </c>
      <c r="B59" t="s">
        <v>10</v>
      </c>
      <c r="C59" t="s">
        <v>89</v>
      </c>
      <c r="D59">
        <v>98.14</v>
      </c>
      <c r="E59">
        <v>3</v>
      </c>
      <c r="F59" s="6">
        <v>22.26</v>
      </c>
      <c r="G59" s="4">
        <v>59.55</v>
      </c>
      <c r="H59" t="s">
        <v>161</v>
      </c>
      <c r="I59" t="s">
        <v>233</v>
      </c>
      <c r="J59" t="s">
        <v>234</v>
      </c>
    </row>
    <row r="60" spans="1:10" x14ac:dyDescent="0.35">
      <c r="A60" t="s">
        <v>235</v>
      </c>
      <c r="B60" t="s">
        <v>10</v>
      </c>
      <c r="C60" t="s">
        <v>11</v>
      </c>
      <c r="D60">
        <v>350.93</v>
      </c>
      <c r="E60">
        <v>4</v>
      </c>
      <c r="F60" s="6">
        <v>12.68</v>
      </c>
      <c r="G60" s="4">
        <v>87.57</v>
      </c>
      <c r="H60" t="s">
        <v>236</v>
      </c>
      <c r="I60" t="s">
        <v>237</v>
      </c>
      <c r="J60" t="s">
        <v>238</v>
      </c>
    </row>
    <row r="61" spans="1:10" x14ac:dyDescent="0.35">
      <c r="A61" t="s">
        <v>239</v>
      </c>
      <c r="B61" t="s">
        <v>10</v>
      </c>
      <c r="C61" t="s">
        <v>11</v>
      </c>
      <c r="D61">
        <v>326.57</v>
      </c>
      <c r="E61">
        <v>5</v>
      </c>
      <c r="F61" s="6">
        <v>37.32</v>
      </c>
      <c r="G61" s="4">
        <v>12.28</v>
      </c>
      <c r="H61" t="s">
        <v>240</v>
      </c>
      <c r="I61" t="s">
        <v>241</v>
      </c>
      <c r="J61" t="s">
        <v>242</v>
      </c>
    </row>
    <row r="62" spans="1:10" x14ac:dyDescent="0.35">
      <c r="A62" t="s">
        <v>243</v>
      </c>
      <c r="B62" t="s">
        <v>42</v>
      </c>
      <c r="C62" t="s">
        <v>56</v>
      </c>
      <c r="D62">
        <v>278.02</v>
      </c>
      <c r="E62">
        <v>5</v>
      </c>
      <c r="F62" s="6">
        <v>33.04</v>
      </c>
      <c r="G62" s="4">
        <v>40.31</v>
      </c>
      <c r="H62" t="s">
        <v>244</v>
      </c>
      <c r="I62" t="s">
        <v>245</v>
      </c>
      <c r="J62" t="s">
        <v>246</v>
      </c>
    </row>
    <row r="63" spans="1:10" x14ac:dyDescent="0.35">
      <c r="A63" t="s">
        <v>247</v>
      </c>
      <c r="B63" t="s">
        <v>10</v>
      </c>
      <c r="C63" t="s">
        <v>47</v>
      </c>
      <c r="D63">
        <v>246.55</v>
      </c>
      <c r="E63">
        <v>3</v>
      </c>
      <c r="F63" s="6">
        <v>44.9</v>
      </c>
      <c r="G63" s="4">
        <v>14.62</v>
      </c>
      <c r="H63" t="s">
        <v>248</v>
      </c>
      <c r="I63" t="s">
        <v>249</v>
      </c>
      <c r="J63" t="s">
        <v>250</v>
      </c>
    </row>
    <row r="64" spans="1:10" x14ac:dyDescent="0.35">
      <c r="A64" t="s">
        <v>251</v>
      </c>
      <c r="B64" t="s">
        <v>16</v>
      </c>
      <c r="C64" t="s">
        <v>47</v>
      </c>
      <c r="D64">
        <v>343.76</v>
      </c>
      <c r="E64">
        <v>5</v>
      </c>
      <c r="F64" s="6">
        <v>16.43</v>
      </c>
      <c r="G64" s="4">
        <v>85.32</v>
      </c>
      <c r="H64" t="s">
        <v>121</v>
      </c>
      <c r="I64" t="s">
        <v>252</v>
      </c>
      <c r="J64" t="s">
        <v>253</v>
      </c>
    </row>
    <row r="65" spans="1:10" x14ac:dyDescent="0.35">
      <c r="A65" t="s">
        <v>254</v>
      </c>
      <c r="B65" t="s">
        <v>16</v>
      </c>
      <c r="C65" t="s">
        <v>22</v>
      </c>
      <c r="D65">
        <v>224.41</v>
      </c>
      <c r="E65">
        <v>3</v>
      </c>
      <c r="F65" s="6">
        <v>44.77</v>
      </c>
      <c r="G65" s="4">
        <v>58.28</v>
      </c>
      <c r="H65" t="s">
        <v>255</v>
      </c>
      <c r="I65" t="s">
        <v>256</v>
      </c>
      <c r="J65" t="s">
        <v>257</v>
      </c>
    </row>
    <row r="66" spans="1:10" x14ac:dyDescent="0.35">
      <c r="A66" t="s">
        <v>258</v>
      </c>
      <c r="B66" t="s">
        <v>16</v>
      </c>
      <c r="C66" t="s">
        <v>27</v>
      </c>
      <c r="D66">
        <v>95.76</v>
      </c>
      <c r="E66">
        <v>3</v>
      </c>
      <c r="F66" s="6">
        <v>11.22</v>
      </c>
      <c r="G66" s="4">
        <v>80.7</v>
      </c>
      <c r="H66" t="s">
        <v>259</v>
      </c>
      <c r="I66" t="s">
        <v>260</v>
      </c>
      <c r="J66" t="s">
        <v>261</v>
      </c>
    </row>
    <row r="67" spans="1:10" x14ac:dyDescent="0.35">
      <c r="A67" t="s">
        <v>262</v>
      </c>
      <c r="B67" t="s">
        <v>42</v>
      </c>
      <c r="C67" t="s">
        <v>22</v>
      </c>
      <c r="D67">
        <v>142.41</v>
      </c>
      <c r="E67">
        <v>4</v>
      </c>
      <c r="F67" s="6">
        <v>19.48</v>
      </c>
      <c r="G67" s="4">
        <v>82.06</v>
      </c>
      <c r="H67" t="s">
        <v>255</v>
      </c>
      <c r="I67" t="s">
        <v>263</v>
      </c>
      <c r="J67" t="s">
        <v>264</v>
      </c>
    </row>
    <row r="68" spans="1:10" x14ac:dyDescent="0.35">
      <c r="A68" t="s">
        <v>265</v>
      </c>
      <c r="B68" t="s">
        <v>42</v>
      </c>
      <c r="C68" t="s">
        <v>56</v>
      </c>
      <c r="D68">
        <v>265.74</v>
      </c>
      <c r="E68">
        <v>3</v>
      </c>
      <c r="F68" s="6">
        <v>49.13</v>
      </c>
      <c r="G68" s="4">
        <v>10.49</v>
      </c>
      <c r="H68" t="s">
        <v>266</v>
      </c>
      <c r="I68" t="s">
        <v>267</v>
      </c>
      <c r="J68" t="s">
        <v>268</v>
      </c>
    </row>
    <row r="69" spans="1:10" x14ac:dyDescent="0.35">
      <c r="A69" t="s">
        <v>269</v>
      </c>
      <c r="B69" t="s">
        <v>42</v>
      </c>
      <c r="C69" t="s">
        <v>32</v>
      </c>
      <c r="D69">
        <v>295.48</v>
      </c>
      <c r="E69">
        <v>4</v>
      </c>
      <c r="F69" s="6">
        <v>37.99</v>
      </c>
      <c r="G69" s="4">
        <v>41.03</v>
      </c>
      <c r="H69" t="s">
        <v>270</v>
      </c>
      <c r="I69" t="s">
        <v>199</v>
      </c>
      <c r="J69" t="s">
        <v>271</v>
      </c>
    </row>
    <row r="70" spans="1:10" x14ac:dyDescent="0.35">
      <c r="A70" t="s">
        <v>272</v>
      </c>
      <c r="B70" t="s">
        <v>10</v>
      </c>
      <c r="C70" t="s">
        <v>11</v>
      </c>
      <c r="D70">
        <v>302.45999999999998</v>
      </c>
      <c r="E70">
        <v>4</v>
      </c>
      <c r="F70" s="6">
        <v>43</v>
      </c>
      <c r="G70" s="4">
        <v>68.44</v>
      </c>
      <c r="H70" t="s">
        <v>273</v>
      </c>
      <c r="I70" t="s">
        <v>274</v>
      </c>
      <c r="J70" t="s">
        <v>275</v>
      </c>
    </row>
    <row r="71" spans="1:10" x14ac:dyDescent="0.35">
      <c r="A71" t="s">
        <v>276</v>
      </c>
      <c r="B71" t="s">
        <v>10</v>
      </c>
      <c r="C71" t="s">
        <v>17</v>
      </c>
      <c r="D71">
        <v>389.8</v>
      </c>
      <c r="E71">
        <v>3</v>
      </c>
      <c r="F71" s="6">
        <v>48.92</v>
      </c>
      <c r="G71" s="4">
        <v>53.09</v>
      </c>
      <c r="H71" t="s">
        <v>277</v>
      </c>
      <c r="I71" t="s">
        <v>33</v>
      </c>
      <c r="J71" t="s">
        <v>278</v>
      </c>
    </row>
    <row r="72" spans="1:10" x14ac:dyDescent="0.35">
      <c r="A72" t="s">
        <v>279</v>
      </c>
      <c r="B72" t="s">
        <v>16</v>
      </c>
      <c r="C72" t="s">
        <v>37</v>
      </c>
      <c r="D72">
        <v>333.72</v>
      </c>
      <c r="E72">
        <v>3</v>
      </c>
      <c r="F72" s="6">
        <v>18.239999999999998</v>
      </c>
      <c r="G72" s="4">
        <v>46.22</v>
      </c>
      <c r="H72" t="s">
        <v>280</v>
      </c>
      <c r="I72" t="s">
        <v>281</v>
      </c>
      <c r="J72" t="s">
        <v>282</v>
      </c>
    </row>
    <row r="73" spans="1:10" x14ac:dyDescent="0.35">
      <c r="A73" t="s">
        <v>283</v>
      </c>
      <c r="B73" t="s">
        <v>42</v>
      </c>
      <c r="C73" t="s">
        <v>17</v>
      </c>
      <c r="D73">
        <v>462.42</v>
      </c>
      <c r="E73">
        <v>3</v>
      </c>
      <c r="F73" s="6">
        <v>15.06</v>
      </c>
      <c r="G73" s="4">
        <v>44.63</v>
      </c>
      <c r="H73" t="s">
        <v>106</v>
      </c>
      <c r="I73" t="s">
        <v>284</v>
      </c>
      <c r="J73" t="s">
        <v>285</v>
      </c>
    </row>
    <row r="74" spans="1:10" x14ac:dyDescent="0.35">
      <c r="A74" t="s">
        <v>286</v>
      </c>
      <c r="B74" t="s">
        <v>42</v>
      </c>
      <c r="C74" t="s">
        <v>27</v>
      </c>
      <c r="D74">
        <v>97.92</v>
      </c>
      <c r="E74">
        <v>3</v>
      </c>
      <c r="F74" s="6">
        <v>8.1300000000000008</v>
      </c>
      <c r="G74" s="4">
        <v>46.4</v>
      </c>
      <c r="H74" t="s">
        <v>287</v>
      </c>
      <c r="I74" t="s">
        <v>288</v>
      </c>
      <c r="J74" t="s">
        <v>289</v>
      </c>
    </row>
    <row r="75" spans="1:10" x14ac:dyDescent="0.35">
      <c r="A75" t="s">
        <v>290</v>
      </c>
      <c r="B75" t="s">
        <v>16</v>
      </c>
      <c r="C75" t="s">
        <v>17</v>
      </c>
      <c r="D75">
        <v>247.68</v>
      </c>
      <c r="E75">
        <v>3</v>
      </c>
      <c r="F75" s="6">
        <v>12.04</v>
      </c>
      <c r="G75" s="4">
        <v>34.71</v>
      </c>
      <c r="H75" t="s">
        <v>291</v>
      </c>
      <c r="I75" t="s">
        <v>292</v>
      </c>
      <c r="J75" t="s">
        <v>293</v>
      </c>
    </row>
    <row r="76" spans="1:10" x14ac:dyDescent="0.35">
      <c r="A76" t="s">
        <v>294</v>
      </c>
      <c r="B76" t="s">
        <v>16</v>
      </c>
      <c r="C76" t="s">
        <v>61</v>
      </c>
      <c r="D76">
        <v>68.17</v>
      </c>
      <c r="E76">
        <v>3</v>
      </c>
      <c r="F76" s="6">
        <v>40.21</v>
      </c>
      <c r="G76" s="4">
        <v>99.16</v>
      </c>
      <c r="H76" t="s">
        <v>19</v>
      </c>
      <c r="I76" t="s">
        <v>295</v>
      </c>
      <c r="J76" t="s">
        <v>296</v>
      </c>
    </row>
    <row r="77" spans="1:10" x14ac:dyDescent="0.35">
      <c r="A77" t="s">
        <v>297</v>
      </c>
      <c r="B77" t="s">
        <v>42</v>
      </c>
      <c r="C77" t="s">
        <v>56</v>
      </c>
      <c r="D77">
        <v>326.58</v>
      </c>
      <c r="E77">
        <v>3</v>
      </c>
      <c r="F77" s="6">
        <v>7.47</v>
      </c>
      <c r="G77" s="4">
        <v>47.16</v>
      </c>
      <c r="H77" t="s">
        <v>171</v>
      </c>
      <c r="I77" t="s">
        <v>106</v>
      </c>
      <c r="J77" t="s">
        <v>298</v>
      </c>
    </row>
    <row r="78" spans="1:10" x14ac:dyDescent="0.35">
      <c r="A78" t="s">
        <v>299</v>
      </c>
      <c r="B78" t="s">
        <v>10</v>
      </c>
      <c r="C78" t="s">
        <v>56</v>
      </c>
      <c r="D78">
        <v>247.25</v>
      </c>
      <c r="E78">
        <v>5</v>
      </c>
      <c r="F78" s="6">
        <v>30.2</v>
      </c>
      <c r="G78" s="4">
        <v>95.49</v>
      </c>
      <c r="H78" t="s">
        <v>300</v>
      </c>
      <c r="I78" t="s">
        <v>301</v>
      </c>
      <c r="J78" t="s">
        <v>302</v>
      </c>
    </row>
    <row r="79" spans="1:10" x14ac:dyDescent="0.35">
      <c r="A79" t="s">
        <v>303</v>
      </c>
      <c r="B79" t="s">
        <v>10</v>
      </c>
      <c r="C79" t="s">
        <v>61</v>
      </c>
      <c r="D79">
        <v>478.3</v>
      </c>
      <c r="E79">
        <v>5</v>
      </c>
      <c r="F79" s="6">
        <v>0.48</v>
      </c>
      <c r="G79" s="4">
        <v>74.64</v>
      </c>
      <c r="H79" t="s">
        <v>304</v>
      </c>
      <c r="I79" t="s">
        <v>305</v>
      </c>
      <c r="J79" t="s">
        <v>306</v>
      </c>
    </row>
    <row r="80" spans="1:10" x14ac:dyDescent="0.35">
      <c r="A80" t="s">
        <v>307</v>
      </c>
      <c r="B80" t="s">
        <v>10</v>
      </c>
      <c r="C80" t="s">
        <v>11</v>
      </c>
      <c r="D80">
        <v>180</v>
      </c>
      <c r="E80">
        <v>4</v>
      </c>
      <c r="F80" s="6">
        <v>31.95</v>
      </c>
      <c r="G80" s="4">
        <v>77.52</v>
      </c>
      <c r="H80" t="s">
        <v>308</v>
      </c>
      <c r="I80" t="s">
        <v>129</v>
      </c>
      <c r="J80" t="s">
        <v>309</v>
      </c>
    </row>
    <row r="81" spans="1:10" x14ac:dyDescent="0.35">
      <c r="A81" t="s">
        <v>310</v>
      </c>
      <c r="B81" t="s">
        <v>16</v>
      </c>
      <c r="C81" t="s">
        <v>89</v>
      </c>
      <c r="D81">
        <v>259.77</v>
      </c>
      <c r="E81">
        <v>3</v>
      </c>
      <c r="F81" s="6">
        <v>22</v>
      </c>
      <c r="G81" s="4">
        <v>73.849999999999994</v>
      </c>
      <c r="H81" t="s">
        <v>311</v>
      </c>
      <c r="I81" t="s">
        <v>301</v>
      </c>
      <c r="J81" t="s">
        <v>312</v>
      </c>
    </row>
    <row r="82" spans="1:10" x14ac:dyDescent="0.35">
      <c r="A82" t="s">
        <v>313</v>
      </c>
      <c r="B82" t="s">
        <v>10</v>
      </c>
      <c r="C82" t="s">
        <v>27</v>
      </c>
      <c r="D82">
        <v>408.97</v>
      </c>
      <c r="E82">
        <v>3</v>
      </c>
      <c r="F82" s="6">
        <v>36.14</v>
      </c>
      <c r="G82" s="4">
        <v>50.37</v>
      </c>
      <c r="H82" t="s">
        <v>314</v>
      </c>
      <c r="I82" t="s">
        <v>315</v>
      </c>
      <c r="J82" t="s">
        <v>316</v>
      </c>
    </row>
    <row r="83" spans="1:10" x14ac:dyDescent="0.35">
      <c r="A83" t="s">
        <v>317</v>
      </c>
      <c r="B83" t="s">
        <v>10</v>
      </c>
      <c r="C83" t="s">
        <v>56</v>
      </c>
      <c r="D83">
        <v>369.49</v>
      </c>
      <c r="E83">
        <v>3</v>
      </c>
      <c r="F83" s="6">
        <v>0.51</v>
      </c>
      <c r="G83" s="4">
        <v>84.13</v>
      </c>
      <c r="H83" t="s">
        <v>318</v>
      </c>
      <c r="I83" t="s">
        <v>74</v>
      </c>
      <c r="J83" t="s">
        <v>319</v>
      </c>
    </row>
    <row r="84" spans="1:10" x14ac:dyDescent="0.35">
      <c r="A84" t="s">
        <v>320</v>
      </c>
      <c r="B84" t="s">
        <v>10</v>
      </c>
      <c r="C84" t="s">
        <v>37</v>
      </c>
      <c r="D84">
        <v>120.86</v>
      </c>
      <c r="E84">
        <v>4</v>
      </c>
      <c r="F84" s="6">
        <v>30.77</v>
      </c>
      <c r="G84" s="4">
        <v>10.64</v>
      </c>
      <c r="H84" t="s">
        <v>12</v>
      </c>
      <c r="I84" t="s">
        <v>98</v>
      </c>
      <c r="J84" t="s">
        <v>321</v>
      </c>
    </row>
    <row r="85" spans="1:10" x14ac:dyDescent="0.35">
      <c r="A85" t="s">
        <v>322</v>
      </c>
      <c r="B85" t="s">
        <v>42</v>
      </c>
      <c r="C85" t="s">
        <v>37</v>
      </c>
      <c r="D85">
        <v>381.18</v>
      </c>
      <c r="E85">
        <v>5</v>
      </c>
      <c r="F85" s="6">
        <v>46.13</v>
      </c>
      <c r="G85" s="4">
        <v>53.83</v>
      </c>
      <c r="H85" t="s">
        <v>75</v>
      </c>
      <c r="I85" t="s">
        <v>323</v>
      </c>
      <c r="J85" t="s">
        <v>324</v>
      </c>
    </row>
    <row r="86" spans="1:10" x14ac:dyDescent="0.35">
      <c r="A86" t="s">
        <v>325</v>
      </c>
      <c r="B86" t="s">
        <v>42</v>
      </c>
      <c r="C86" t="s">
        <v>47</v>
      </c>
      <c r="D86">
        <v>83.05</v>
      </c>
      <c r="E86">
        <v>5</v>
      </c>
      <c r="F86" s="6">
        <v>41.14</v>
      </c>
      <c r="G86" s="4">
        <v>55.28</v>
      </c>
      <c r="H86" t="s">
        <v>140</v>
      </c>
      <c r="I86" t="s">
        <v>326</v>
      </c>
      <c r="J86" t="s">
        <v>327</v>
      </c>
    </row>
    <row r="87" spans="1:10" x14ac:dyDescent="0.35">
      <c r="A87" t="s">
        <v>328</v>
      </c>
      <c r="B87" t="s">
        <v>16</v>
      </c>
      <c r="C87" t="s">
        <v>56</v>
      </c>
      <c r="D87">
        <v>256.69</v>
      </c>
      <c r="E87">
        <v>3</v>
      </c>
      <c r="F87" s="6">
        <v>32.99</v>
      </c>
      <c r="G87" s="4">
        <v>88.01</v>
      </c>
      <c r="H87" t="s">
        <v>329</v>
      </c>
      <c r="I87" t="s">
        <v>330</v>
      </c>
      <c r="J87" t="s">
        <v>331</v>
      </c>
    </row>
    <row r="88" spans="1:10" x14ac:dyDescent="0.35">
      <c r="A88" t="s">
        <v>332</v>
      </c>
      <c r="B88" t="s">
        <v>42</v>
      </c>
      <c r="C88" t="s">
        <v>47</v>
      </c>
      <c r="D88">
        <v>78.12</v>
      </c>
      <c r="E88">
        <v>3</v>
      </c>
      <c r="F88" s="6">
        <v>46.08</v>
      </c>
      <c r="G88" s="4">
        <v>59.53</v>
      </c>
      <c r="H88" t="s">
        <v>333</v>
      </c>
      <c r="I88" t="s">
        <v>334</v>
      </c>
      <c r="J88" t="s">
        <v>335</v>
      </c>
    </row>
    <row r="89" spans="1:10" x14ac:dyDescent="0.35">
      <c r="A89" t="s">
        <v>336</v>
      </c>
      <c r="B89" t="s">
        <v>42</v>
      </c>
      <c r="C89" t="s">
        <v>56</v>
      </c>
      <c r="D89">
        <v>452.44</v>
      </c>
      <c r="E89">
        <v>5</v>
      </c>
      <c r="F89" s="6">
        <v>2.38</v>
      </c>
      <c r="G89" s="4">
        <v>24.81</v>
      </c>
      <c r="H89" t="s">
        <v>337</v>
      </c>
      <c r="I89" t="s">
        <v>338</v>
      </c>
      <c r="J89" t="s">
        <v>339</v>
      </c>
    </row>
    <row r="90" spans="1:10" x14ac:dyDescent="0.35">
      <c r="A90" t="s">
        <v>340</v>
      </c>
      <c r="B90" t="s">
        <v>10</v>
      </c>
      <c r="C90" t="s">
        <v>89</v>
      </c>
      <c r="D90">
        <v>263.73</v>
      </c>
      <c r="E90">
        <v>5</v>
      </c>
      <c r="F90" s="6">
        <v>23.39</v>
      </c>
      <c r="G90" s="4">
        <v>92.48</v>
      </c>
      <c r="H90" t="s">
        <v>341</v>
      </c>
      <c r="I90" t="s">
        <v>342</v>
      </c>
      <c r="J90" t="s">
        <v>343</v>
      </c>
    </row>
    <row r="91" spans="1:10" x14ac:dyDescent="0.35">
      <c r="A91" t="s">
        <v>344</v>
      </c>
      <c r="B91" t="s">
        <v>10</v>
      </c>
      <c r="C91" t="s">
        <v>27</v>
      </c>
      <c r="D91">
        <v>183.34</v>
      </c>
      <c r="E91">
        <v>3</v>
      </c>
      <c r="F91" s="6">
        <v>30.11</v>
      </c>
      <c r="G91" s="4">
        <v>35.049999999999997</v>
      </c>
      <c r="H91" t="s">
        <v>345</v>
      </c>
      <c r="I91" t="s">
        <v>66</v>
      </c>
      <c r="J91" t="s">
        <v>346</v>
      </c>
    </row>
    <row r="92" spans="1:10" x14ac:dyDescent="0.35">
      <c r="A92" t="s">
        <v>347</v>
      </c>
      <c r="B92" t="s">
        <v>10</v>
      </c>
      <c r="C92" t="s">
        <v>47</v>
      </c>
      <c r="D92">
        <v>121.09</v>
      </c>
      <c r="E92">
        <v>3</v>
      </c>
      <c r="F92" s="6">
        <v>39.28</v>
      </c>
      <c r="G92" s="4">
        <v>60.71</v>
      </c>
      <c r="H92" t="s">
        <v>29</v>
      </c>
      <c r="I92" t="s">
        <v>348</v>
      </c>
      <c r="J92" t="s">
        <v>349</v>
      </c>
    </row>
    <row r="93" spans="1:10" x14ac:dyDescent="0.35">
      <c r="A93" t="s">
        <v>350</v>
      </c>
      <c r="B93" t="s">
        <v>42</v>
      </c>
      <c r="C93" t="s">
        <v>37</v>
      </c>
      <c r="D93">
        <v>259.52</v>
      </c>
      <c r="E93">
        <v>3</v>
      </c>
      <c r="F93" s="6">
        <v>10.88</v>
      </c>
      <c r="G93" s="4">
        <v>14.33</v>
      </c>
      <c r="H93" t="s">
        <v>351</v>
      </c>
      <c r="I93" t="s">
        <v>249</v>
      </c>
      <c r="J93" t="s">
        <v>352</v>
      </c>
    </row>
    <row r="94" spans="1:10" x14ac:dyDescent="0.35">
      <c r="A94" t="s">
        <v>353</v>
      </c>
      <c r="B94" t="s">
        <v>42</v>
      </c>
      <c r="C94" t="s">
        <v>61</v>
      </c>
      <c r="D94">
        <v>348.35</v>
      </c>
      <c r="E94">
        <v>4</v>
      </c>
      <c r="F94" s="6">
        <v>12.24</v>
      </c>
      <c r="G94" s="4">
        <v>26.04</v>
      </c>
      <c r="H94" t="s">
        <v>354</v>
      </c>
      <c r="I94" t="s">
        <v>355</v>
      </c>
      <c r="J94" t="s">
        <v>356</v>
      </c>
    </row>
    <row r="95" spans="1:10" x14ac:dyDescent="0.35">
      <c r="A95" t="s">
        <v>357</v>
      </c>
      <c r="B95" t="s">
        <v>42</v>
      </c>
      <c r="C95" t="s">
        <v>37</v>
      </c>
      <c r="D95">
        <v>486.04</v>
      </c>
      <c r="E95">
        <v>5</v>
      </c>
      <c r="F95" s="6">
        <v>27.53</v>
      </c>
      <c r="G95" s="4">
        <v>43.76</v>
      </c>
      <c r="H95" t="s">
        <v>358</v>
      </c>
      <c r="I95" t="s">
        <v>359</v>
      </c>
      <c r="J95" t="s">
        <v>360</v>
      </c>
    </row>
    <row r="96" spans="1:10" x14ac:dyDescent="0.35">
      <c r="A96" t="s">
        <v>361</v>
      </c>
      <c r="B96" t="s">
        <v>10</v>
      </c>
      <c r="C96" t="s">
        <v>32</v>
      </c>
      <c r="D96">
        <v>268.85000000000002</v>
      </c>
      <c r="E96">
        <v>5</v>
      </c>
      <c r="F96" s="6">
        <v>0.91</v>
      </c>
      <c r="G96" s="4">
        <v>87.31</v>
      </c>
      <c r="H96" t="s">
        <v>311</v>
      </c>
      <c r="I96" t="s">
        <v>117</v>
      </c>
      <c r="J96" t="s">
        <v>362</v>
      </c>
    </row>
    <row r="97" spans="1:10" x14ac:dyDescent="0.35">
      <c r="A97" t="s">
        <v>363</v>
      </c>
      <c r="B97" t="s">
        <v>16</v>
      </c>
      <c r="C97" t="s">
        <v>61</v>
      </c>
      <c r="D97">
        <v>437.64</v>
      </c>
      <c r="E97">
        <v>5</v>
      </c>
      <c r="F97" s="6">
        <v>46.56</v>
      </c>
      <c r="G97" s="4">
        <v>90.7</v>
      </c>
      <c r="H97" t="s">
        <v>364</v>
      </c>
      <c r="I97" t="s">
        <v>256</v>
      </c>
      <c r="J97" t="s">
        <v>365</v>
      </c>
    </row>
    <row r="98" spans="1:10" x14ac:dyDescent="0.35">
      <c r="A98" t="s">
        <v>366</v>
      </c>
      <c r="B98" t="s">
        <v>42</v>
      </c>
      <c r="C98" t="s">
        <v>11</v>
      </c>
      <c r="D98">
        <v>432.42</v>
      </c>
      <c r="E98">
        <v>4</v>
      </c>
      <c r="F98" s="6">
        <v>34.08</v>
      </c>
      <c r="G98" s="4">
        <v>12.69</v>
      </c>
      <c r="H98" t="s">
        <v>70</v>
      </c>
      <c r="I98" t="s">
        <v>367</v>
      </c>
      <c r="J98" t="s">
        <v>368</v>
      </c>
    </row>
    <row r="99" spans="1:10" x14ac:dyDescent="0.35">
      <c r="A99" t="s">
        <v>369</v>
      </c>
      <c r="B99" t="s">
        <v>42</v>
      </c>
      <c r="C99" t="s">
        <v>37</v>
      </c>
      <c r="D99">
        <v>263.61</v>
      </c>
      <c r="E99">
        <v>5</v>
      </c>
      <c r="F99" s="6">
        <v>28.46</v>
      </c>
      <c r="G99" s="4">
        <v>42.22</v>
      </c>
      <c r="H99" t="s">
        <v>259</v>
      </c>
      <c r="I99" t="s">
        <v>370</v>
      </c>
      <c r="J99" t="s">
        <v>371</v>
      </c>
    </row>
    <row r="100" spans="1:10" x14ac:dyDescent="0.35">
      <c r="A100" t="s">
        <v>372</v>
      </c>
      <c r="B100" t="s">
        <v>42</v>
      </c>
      <c r="C100" t="s">
        <v>22</v>
      </c>
      <c r="D100">
        <v>476.98</v>
      </c>
      <c r="E100">
        <v>5</v>
      </c>
      <c r="F100" s="6">
        <v>34.14</v>
      </c>
      <c r="G100" s="4">
        <v>59.26</v>
      </c>
      <c r="H100" t="s">
        <v>373</v>
      </c>
      <c r="I100" t="s">
        <v>199</v>
      </c>
      <c r="J100" t="s">
        <v>374</v>
      </c>
    </row>
    <row r="101" spans="1:10" x14ac:dyDescent="0.35">
      <c r="A101" t="s">
        <v>375</v>
      </c>
      <c r="B101" t="s">
        <v>42</v>
      </c>
      <c r="C101" t="s">
        <v>22</v>
      </c>
      <c r="D101">
        <v>90.58</v>
      </c>
      <c r="E101">
        <v>5</v>
      </c>
      <c r="F101" s="6">
        <v>48.56</v>
      </c>
      <c r="G101" s="4">
        <v>90.04</v>
      </c>
      <c r="H101" t="s">
        <v>376</v>
      </c>
      <c r="I101" t="s">
        <v>377</v>
      </c>
      <c r="J101" t="s">
        <v>378</v>
      </c>
    </row>
    <row r="102" spans="1:10" x14ac:dyDescent="0.35">
      <c r="A102" t="s">
        <v>379</v>
      </c>
      <c r="B102" t="s">
        <v>10</v>
      </c>
      <c r="C102" t="s">
        <v>22</v>
      </c>
      <c r="D102">
        <v>176.03</v>
      </c>
      <c r="E102">
        <v>3</v>
      </c>
      <c r="F102" s="6">
        <v>20.02</v>
      </c>
      <c r="G102" s="4">
        <v>19.28</v>
      </c>
      <c r="H102" t="s">
        <v>323</v>
      </c>
      <c r="I102" t="s">
        <v>380</v>
      </c>
      <c r="J102" t="s">
        <v>381</v>
      </c>
    </row>
    <row r="103" spans="1:10" x14ac:dyDescent="0.35">
      <c r="A103" t="s">
        <v>382</v>
      </c>
      <c r="B103" t="s">
        <v>16</v>
      </c>
      <c r="C103" t="s">
        <v>17</v>
      </c>
      <c r="D103">
        <v>196.17</v>
      </c>
      <c r="E103">
        <v>3</v>
      </c>
      <c r="F103" s="6">
        <v>13.94</v>
      </c>
      <c r="G103" s="4">
        <v>51.99</v>
      </c>
      <c r="H103" t="s">
        <v>342</v>
      </c>
      <c r="I103" t="s">
        <v>383</v>
      </c>
      <c r="J103" t="s">
        <v>384</v>
      </c>
    </row>
    <row r="104" spans="1:10" x14ac:dyDescent="0.35">
      <c r="A104" t="s">
        <v>385</v>
      </c>
      <c r="B104" t="s">
        <v>42</v>
      </c>
      <c r="C104" t="s">
        <v>11</v>
      </c>
      <c r="D104">
        <v>291.31</v>
      </c>
      <c r="E104">
        <v>3</v>
      </c>
      <c r="F104" s="6">
        <v>33.39</v>
      </c>
      <c r="G104" s="4">
        <v>23.78</v>
      </c>
      <c r="H104" t="s">
        <v>273</v>
      </c>
      <c r="I104" t="s">
        <v>386</v>
      </c>
      <c r="J104" t="s">
        <v>387</v>
      </c>
    </row>
    <row r="105" spans="1:10" x14ac:dyDescent="0.35">
      <c r="A105" t="s">
        <v>388</v>
      </c>
      <c r="B105" t="s">
        <v>10</v>
      </c>
      <c r="C105" t="s">
        <v>32</v>
      </c>
      <c r="D105">
        <v>121.88</v>
      </c>
      <c r="E105">
        <v>3</v>
      </c>
      <c r="F105" s="6">
        <v>43.33</v>
      </c>
      <c r="G105" s="4">
        <v>31.07</v>
      </c>
      <c r="H105" t="s">
        <v>186</v>
      </c>
      <c r="I105" t="s">
        <v>355</v>
      </c>
      <c r="J105" t="s">
        <v>389</v>
      </c>
    </row>
    <row r="106" spans="1:10" x14ac:dyDescent="0.35">
      <c r="A106" t="s">
        <v>390</v>
      </c>
      <c r="B106" t="s">
        <v>42</v>
      </c>
      <c r="C106" t="s">
        <v>37</v>
      </c>
      <c r="D106">
        <v>294.94</v>
      </c>
      <c r="E106">
        <v>5</v>
      </c>
      <c r="F106" s="6">
        <v>16.5</v>
      </c>
      <c r="G106" s="4">
        <v>22.42</v>
      </c>
      <c r="H106" t="s">
        <v>391</v>
      </c>
      <c r="I106" t="s">
        <v>105</v>
      </c>
      <c r="J106" t="s">
        <v>392</v>
      </c>
    </row>
    <row r="107" spans="1:10" x14ac:dyDescent="0.35">
      <c r="A107" t="s">
        <v>393</v>
      </c>
      <c r="B107" t="s">
        <v>42</v>
      </c>
      <c r="C107" t="s">
        <v>56</v>
      </c>
      <c r="D107">
        <v>269.88</v>
      </c>
      <c r="E107">
        <v>5</v>
      </c>
      <c r="F107" s="6">
        <v>0.84</v>
      </c>
      <c r="G107" s="4">
        <v>65.05</v>
      </c>
      <c r="H107" t="s">
        <v>314</v>
      </c>
      <c r="I107" t="s">
        <v>135</v>
      </c>
      <c r="J107" t="s">
        <v>394</v>
      </c>
    </row>
    <row r="108" spans="1:10" x14ac:dyDescent="0.35">
      <c r="A108" t="s">
        <v>395</v>
      </c>
      <c r="B108" t="s">
        <v>10</v>
      </c>
      <c r="C108" t="s">
        <v>11</v>
      </c>
      <c r="D108">
        <v>467.68</v>
      </c>
      <c r="E108">
        <v>5</v>
      </c>
      <c r="F108" s="6">
        <v>43.9</v>
      </c>
      <c r="G108" s="4">
        <v>76.55</v>
      </c>
      <c r="H108" t="s">
        <v>396</v>
      </c>
      <c r="I108" t="s">
        <v>334</v>
      </c>
      <c r="J108" t="s">
        <v>397</v>
      </c>
    </row>
    <row r="109" spans="1:10" x14ac:dyDescent="0.35">
      <c r="A109" t="s">
        <v>398</v>
      </c>
      <c r="B109" t="s">
        <v>42</v>
      </c>
      <c r="C109" t="s">
        <v>47</v>
      </c>
      <c r="D109">
        <v>319.32</v>
      </c>
      <c r="E109">
        <v>5</v>
      </c>
      <c r="F109" s="6">
        <v>47.22</v>
      </c>
      <c r="G109" s="4">
        <v>34.06</v>
      </c>
      <c r="H109" t="s">
        <v>132</v>
      </c>
      <c r="I109" t="s">
        <v>255</v>
      </c>
      <c r="J109" t="s">
        <v>399</v>
      </c>
    </row>
    <row r="110" spans="1:10" x14ac:dyDescent="0.35">
      <c r="A110" t="s">
        <v>400</v>
      </c>
      <c r="B110" t="s">
        <v>42</v>
      </c>
      <c r="C110" t="s">
        <v>17</v>
      </c>
      <c r="D110">
        <v>125.92</v>
      </c>
      <c r="E110">
        <v>4</v>
      </c>
      <c r="F110" s="6">
        <v>5.49</v>
      </c>
      <c r="G110" s="4">
        <v>16.75</v>
      </c>
      <c r="H110" t="s">
        <v>401</v>
      </c>
      <c r="I110" t="s">
        <v>186</v>
      </c>
      <c r="J110" t="s">
        <v>402</v>
      </c>
    </row>
    <row r="111" spans="1:10" x14ac:dyDescent="0.35">
      <c r="A111" t="s">
        <v>403</v>
      </c>
      <c r="B111" t="s">
        <v>10</v>
      </c>
      <c r="C111" t="s">
        <v>11</v>
      </c>
      <c r="D111">
        <v>103.7</v>
      </c>
      <c r="E111">
        <v>4</v>
      </c>
      <c r="F111" s="6">
        <v>30.41</v>
      </c>
      <c r="G111" s="4">
        <v>78.23</v>
      </c>
      <c r="H111" t="s">
        <v>404</v>
      </c>
      <c r="I111" t="s">
        <v>405</v>
      </c>
      <c r="J111" t="s">
        <v>406</v>
      </c>
    </row>
    <row r="112" spans="1:10" x14ac:dyDescent="0.35">
      <c r="A112" t="s">
        <v>407</v>
      </c>
      <c r="B112" t="s">
        <v>42</v>
      </c>
      <c r="C112" t="s">
        <v>22</v>
      </c>
      <c r="D112">
        <v>177.14</v>
      </c>
      <c r="E112">
        <v>4</v>
      </c>
      <c r="F112" s="6">
        <v>44.28</v>
      </c>
      <c r="G112" s="4">
        <v>21.57</v>
      </c>
      <c r="H112" t="s">
        <v>354</v>
      </c>
      <c r="I112" t="s">
        <v>408</v>
      </c>
      <c r="J112" t="s">
        <v>409</v>
      </c>
    </row>
    <row r="113" spans="1:10" x14ac:dyDescent="0.35">
      <c r="A113" t="s">
        <v>410</v>
      </c>
      <c r="B113" t="s">
        <v>16</v>
      </c>
      <c r="C113" t="s">
        <v>22</v>
      </c>
      <c r="D113">
        <v>110.17</v>
      </c>
      <c r="E113">
        <v>5</v>
      </c>
      <c r="F113" s="6">
        <v>29.47</v>
      </c>
      <c r="G113" s="4">
        <v>59.12</v>
      </c>
      <c r="H113" t="s">
        <v>359</v>
      </c>
      <c r="I113" t="s">
        <v>354</v>
      </c>
      <c r="J113" t="s">
        <v>411</v>
      </c>
    </row>
    <row r="114" spans="1:10" x14ac:dyDescent="0.35">
      <c r="A114" t="s">
        <v>412</v>
      </c>
      <c r="B114" t="s">
        <v>42</v>
      </c>
      <c r="C114" t="s">
        <v>27</v>
      </c>
      <c r="D114">
        <v>464.07</v>
      </c>
      <c r="E114">
        <v>4</v>
      </c>
      <c r="F114" s="6">
        <v>31.73</v>
      </c>
      <c r="G114" s="4">
        <v>97.63</v>
      </c>
      <c r="H114" t="s">
        <v>413</v>
      </c>
      <c r="I114" t="s">
        <v>28</v>
      </c>
      <c r="J114" t="s">
        <v>414</v>
      </c>
    </row>
    <row r="115" spans="1:10" x14ac:dyDescent="0.35">
      <c r="A115" t="s">
        <v>415</v>
      </c>
      <c r="B115" t="s">
        <v>42</v>
      </c>
      <c r="C115" t="s">
        <v>37</v>
      </c>
      <c r="D115">
        <v>250.94</v>
      </c>
      <c r="E115">
        <v>4</v>
      </c>
      <c r="F115" s="6">
        <v>12.99</v>
      </c>
      <c r="G115" s="4">
        <v>57.83</v>
      </c>
      <c r="H115" t="s">
        <v>416</v>
      </c>
      <c r="I115" t="s">
        <v>417</v>
      </c>
      <c r="J115" t="s">
        <v>418</v>
      </c>
    </row>
    <row r="116" spans="1:10" x14ac:dyDescent="0.35">
      <c r="A116" t="s">
        <v>419</v>
      </c>
      <c r="B116" t="s">
        <v>42</v>
      </c>
      <c r="C116" t="s">
        <v>32</v>
      </c>
      <c r="D116">
        <v>300.58</v>
      </c>
      <c r="E116">
        <v>5</v>
      </c>
      <c r="F116" s="6">
        <v>12.56</v>
      </c>
      <c r="G116" s="4">
        <v>41.22</v>
      </c>
      <c r="H116" t="s">
        <v>413</v>
      </c>
      <c r="I116" t="s">
        <v>420</v>
      </c>
      <c r="J116" t="s">
        <v>421</v>
      </c>
    </row>
    <row r="117" spans="1:10" x14ac:dyDescent="0.35">
      <c r="A117" t="s">
        <v>422</v>
      </c>
      <c r="B117" t="s">
        <v>10</v>
      </c>
      <c r="C117" t="s">
        <v>56</v>
      </c>
      <c r="D117">
        <v>305.45999999999998</v>
      </c>
      <c r="E117">
        <v>5</v>
      </c>
      <c r="F117" s="6">
        <v>22.28</v>
      </c>
      <c r="G117" s="4">
        <v>31.85</v>
      </c>
      <c r="H117" t="s">
        <v>213</v>
      </c>
      <c r="I117" t="s">
        <v>423</v>
      </c>
      <c r="J117" t="s">
        <v>424</v>
      </c>
    </row>
    <row r="118" spans="1:10" x14ac:dyDescent="0.35">
      <c r="A118" t="s">
        <v>425</v>
      </c>
      <c r="B118" t="s">
        <v>16</v>
      </c>
      <c r="C118" t="s">
        <v>89</v>
      </c>
      <c r="D118">
        <v>128.12</v>
      </c>
      <c r="E118">
        <v>3</v>
      </c>
      <c r="F118" s="6">
        <v>23.26</v>
      </c>
      <c r="G118" s="4">
        <v>42.29</v>
      </c>
      <c r="H118" t="s">
        <v>63</v>
      </c>
      <c r="I118" t="s">
        <v>426</v>
      </c>
      <c r="J118" t="s">
        <v>427</v>
      </c>
    </row>
    <row r="119" spans="1:10" x14ac:dyDescent="0.35">
      <c r="A119" t="s">
        <v>428</v>
      </c>
      <c r="B119" t="s">
        <v>10</v>
      </c>
      <c r="C119" t="s">
        <v>27</v>
      </c>
      <c r="D119">
        <v>271.92</v>
      </c>
      <c r="E119">
        <v>3</v>
      </c>
      <c r="F119" s="6">
        <v>37.97</v>
      </c>
      <c r="G119" s="4">
        <v>47.42</v>
      </c>
      <c r="H119" t="s">
        <v>70</v>
      </c>
      <c r="I119" t="s">
        <v>429</v>
      </c>
      <c r="J119" t="s">
        <v>430</v>
      </c>
    </row>
    <row r="120" spans="1:10" x14ac:dyDescent="0.35">
      <c r="A120" t="s">
        <v>431</v>
      </c>
      <c r="B120" t="s">
        <v>16</v>
      </c>
      <c r="C120" t="s">
        <v>47</v>
      </c>
      <c r="D120">
        <v>199.14</v>
      </c>
      <c r="E120">
        <v>3</v>
      </c>
      <c r="F120" s="6">
        <v>7.81</v>
      </c>
      <c r="G120" s="4">
        <v>56.38</v>
      </c>
      <c r="H120" t="s">
        <v>404</v>
      </c>
      <c r="I120" t="s">
        <v>288</v>
      </c>
      <c r="J120" t="s">
        <v>432</v>
      </c>
    </row>
    <row r="121" spans="1:10" x14ac:dyDescent="0.35">
      <c r="A121" t="s">
        <v>433</v>
      </c>
      <c r="B121" t="s">
        <v>10</v>
      </c>
      <c r="C121" t="s">
        <v>37</v>
      </c>
      <c r="D121">
        <v>336.98</v>
      </c>
      <c r="E121">
        <v>4</v>
      </c>
      <c r="F121" s="6">
        <v>0.57999999999999996</v>
      </c>
      <c r="G121" s="4">
        <v>96.73</v>
      </c>
      <c r="H121" t="s">
        <v>78</v>
      </c>
      <c r="I121" t="s">
        <v>434</v>
      </c>
      <c r="J121" t="s">
        <v>435</v>
      </c>
    </row>
    <row r="122" spans="1:10" x14ac:dyDescent="0.35">
      <c r="A122" t="s">
        <v>436</v>
      </c>
      <c r="B122" t="s">
        <v>10</v>
      </c>
      <c r="C122" t="s">
        <v>47</v>
      </c>
      <c r="D122">
        <v>154.13</v>
      </c>
      <c r="E122">
        <v>5</v>
      </c>
      <c r="F122" s="6">
        <v>42.95</v>
      </c>
      <c r="G122" s="4">
        <v>16.04</v>
      </c>
      <c r="H122" t="s">
        <v>437</v>
      </c>
      <c r="I122" t="s">
        <v>438</v>
      </c>
      <c r="J122" t="s">
        <v>439</v>
      </c>
    </row>
    <row r="123" spans="1:10" x14ac:dyDescent="0.35">
      <c r="A123" t="s">
        <v>440</v>
      </c>
      <c r="B123" t="s">
        <v>10</v>
      </c>
      <c r="C123" t="s">
        <v>11</v>
      </c>
      <c r="D123">
        <v>78.86</v>
      </c>
      <c r="E123">
        <v>4</v>
      </c>
      <c r="F123" s="6">
        <v>10.51</v>
      </c>
      <c r="G123" s="4">
        <v>65.53</v>
      </c>
      <c r="H123" t="s">
        <v>161</v>
      </c>
      <c r="I123" t="s">
        <v>168</v>
      </c>
      <c r="J123" t="s">
        <v>441</v>
      </c>
    </row>
    <row r="124" spans="1:10" x14ac:dyDescent="0.35">
      <c r="A124" t="s">
        <v>442</v>
      </c>
      <c r="B124" t="s">
        <v>10</v>
      </c>
      <c r="C124" t="s">
        <v>11</v>
      </c>
      <c r="D124">
        <v>283.7</v>
      </c>
      <c r="E124">
        <v>5</v>
      </c>
      <c r="F124" s="6">
        <v>43.59</v>
      </c>
      <c r="G124" s="4">
        <v>42.41</v>
      </c>
      <c r="H124" t="s">
        <v>240</v>
      </c>
      <c r="I124" t="s">
        <v>345</v>
      </c>
      <c r="J124" t="s">
        <v>443</v>
      </c>
    </row>
    <row r="125" spans="1:10" x14ac:dyDescent="0.35">
      <c r="A125" t="s">
        <v>444</v>
      </c>
      <c r="B125" t="s">
        <v>16</v>
      </c>
      <c r="C125" t="s">
        <v>89</v>
      </c>
      <c r="D125">
        <v>133.12</v>
      </c>
      <c r="E125">
        <v>5</v>
      </c>
      <c r="F125" s="6">
        <v>2.41</v>
      </c>
      <c r="G125" s="4">
        <v>60.49</v>
      </c>
      <c r="H125" t="s">
        <v>109</v>
      </c>
      <c r="I125" t="s">
        <v>445</v>
      </c>
      <c r="J125" t="s">
        <v>446</v>
      </c>
    </row>
    <row r="126" spans="1:10" x14ac:dyDescent="0.35">
      <c r="A126" t="s">
        <v>447</v>
      </c>
      <c r="B126" t="s">
        <v>16</v>
      </c>
      <c r="C126" t="s">
        <v>32</v>
      </c>
      <c r="D126">
        <v>411.83</v>
      </c>
      <c r="E126">
        <v>5</v>
      </c>
      <c r="F126" s="6">
        <v>30.31</v>
      </c>
      <c r="G126" s="4">
        <v>88.57</v>
      </c>
      <c r="H126" t="s">
        <v>38</v>
      </c>
      <c r="I126" t="s">
        <v>39</v>
      </c>
      <c r="J126" t="s">
        <v>448</v>
      </c>
    </row>
    <row r="127" spans="1:10" x14ac:dyDescent="0.35">
      <c r="A127" t="s">
        <v>449</v>
      </c>
      <c r="B127" t="s">
        <v>16</v>
      </c>
      <c r="C127" t="s">
        <v>17</v>
      </c>
      <c r="D127">
        <v>379.36</v>
      </c>
      <c r="E127">
        <v>5</v>
      </c>
      <c r="F127" s="6">
        <v>22.83</v>
      </c>
      <c r="G127" s="4">
        <v>69.430000000000007</v>
      </c>
      <c r="H127" t="s">
        <v>450</v>
      </c>
      <c r="I127" t="s">
        <v>82</v>
      </c>
      <c r="J127" t="s">
        <v>451</v>
      </c>
    </row>
    <row r="128" spans="1:10" x14ac:dyDescent="0.35">
      <c r="A128" t="s">
        <v>452</v>
      </c>
      <c r="B128" t="s">
        <v>10</v>
      </c>
      <c r="C128" t="s">
        <v>61</v>
      </c>
      <c r="D128">
        <v>215.33</v>
      </c>
      <c r="E128">
        <v>4</v>
      </c>
      <c r="F128" s="6">
        <v>15.07</v>
      </c>
      <c r="G128" s="4">
        <v>13.06</v>
      </c>
      <c r="H128" t="s">
        <v>453</v>
      </c>
      <c r="I128" t="s">
        <v>225</v>
      </c>
      <c r="J128" t="s">
        <v>454</v>
      </c>
    </row>
    <row r="129" spans="1:10" x14ac:dyDescent="0.35">
      <c r="A129" t="s">
        <v>455</v>
      </c>
      <c r="B129" t="s">
        <v>10</v>
      </c>
      <c r="C129" t="s">
        <v>56</v>
      </c>
      <c r="D129">
        <v>155.02000000000001</v>
      </c>
      <c r="E129">
        <v>4</v>
      </c>
      <c r="F129" s="6">
        <v>2.78</v>
      </c>
      <c r="G129" s="4">
        <v>38.54</v>
      </c>
      <c r="H129" t="s">
        <v>284</v>
      </c>
      <c r="I129" t="s">
        <v>456</v>
      </c>
      <c r="J129" t="s">
        <v>457</v>
      </c>
    </row>
    <row r="130" spans="1:10" x14ac:dyDescent="0.35">
      <c r="A130" t="s">
        <v>458</v>
      </c>
      <c r="B130" t="s">
        <v>42</v>
      </c>
      <c r="C130" t="s">
        <v>22</v>
      </c>
      <c r="D130">
        <v>116.6</v>
      </c>
      <c r="E130">
        <v>5</v>
      </c>
      <c r="F130" s="6">
        <v>23.12</v>
      </c>
      <c r="G130" s="4">
        <v>33.74</v>
      </c>
      <c r="H130" t="s">
        <v>288</v>
      </c>
      <c r="I130" t="s">
        <v>459</v>
      </c>
      <c r="J130" t="s">
        <v>460</v>
      </c>
    </row>
    <row r="131" spans="1:10" x14ac:dyDescent="0.35">
      <c r="A131" t="s">
        <v>461</v>
      </c>
      <c r="B131" t="s">
        <v>10</v>
      </c>
      <c r="C131" t="s">
        <v>22</v>
      </c>
      <c r="D131">
        <v>160.79</v>
      </c>
      <c r="E131">
        <v>3</v>
      </c>
      <c r="F131" s="6">
        <v>30.73</v>
      </c>
      <c r="G131" s="4">
        <v>30.89</v>
      </c>
      <c r="H131" t="s">
        <v>462</v>
      </c>
      <c r="I131" t="s">
        <v>463</v>
      </c>
      <c r="J131" t="s">
        <v>464</v>
      </c>
    </row>
    <row r="132" spans="1:10" x14ac:dyDescent="0.35">
      <c r="A132" t="s">
        <v>465</v>
      </c>
      <c r="B132" t="s">
        <v>16</v>
      </c>
      <c r="C132" t="s">
        <v>56</v>
      </c>
      <c r="D132">
        <v>355.73</v>
      </c>
      <c r="E132">
        <v>3</v>
      </c>
      <c r="F132" s="6">
        <v>29.73</v>
      </c>
      <c r="G132" s="4">
        <v>62.04</v>
      </c>
      <c r="H132" t="s">
        <v>466</v>
      </c>
      <c r="I132" t="s">
        <v>172</v>
      </c>
      <c r="J132" t="s">
        <v>467</v>
      </c>
    </row>
    <row r="133" spans="1:10" x14ac:dyDescent="0.35">
      <c r="A133" t="s">
        <v>468</v>
      </c>
      <c r="B133" t="s">
        <v>16</v>
      </c>
      <c r="C133" t="s">
        <v>32</v>
      </c>
      <c r="D133">
        <v>490.57</v>
      </c>
      <c r="E133">
        <v>4</v>
      </c>
      <c r="F133" s="6">
        <v>10.59</v>
      </c>
      <c r="G133" s="4">
        <v>24.95</v>
      </c>
      <c r="H133" t="s">
        <v>469</v>
      </c>
      <c r="I133" t="s">
        <v>470</v>
      </c>
      <c r="J133" t="s">
        <v>471</v>
      </c>
    </row>
    <row r="134" spans="1:10" x14ac:dyDescent="0.35">
      <c r="A134" t="s">
        <v>472</v>
      </c>
      <c r="B134" t="s">
        <v>16</v>
      </c>
      <c r="C134" t="s">
        <v>27</v>
      </c>
      <c r="D134">
        <v>483.51</v>
      </c>
      <c r="E134">
        <v>4</v>
      </c>
      <c r="F134" s="6">
        <v>9.0299999999999994</v>
      </c>
      <c r="G134" s="4">
        <v>82.76</v>
      </c>
      <c r="H134" t="s">
        <v>140</v>
      </c>
      <c r="I134" t="s">
        <v>423</v>
      </c>
      <c r="J134" t="s">
        <v>473</v>
      </c>
    </row>
    <row r="135" spans="1:10" x14ac:dyDescent="0.35">
      <c r="A135" t="s">
        <v>474</v>
      </c>
      <c r="B135" t="s">
        <v>10</v>
      </c>
      <c r="C135" t="s">
        <v>47</v>
      </c>
      <c r="D135">
        <v>56.27</v>
      </c>
      <c r="E135">
        <v>3</v>
      </c>
      <c r="F135" s="6">
        <v>10.56</v>
      </c>
      <c r="G135" s="4">
        <v>63.13</v>
      </c>
      <c r="H135" t="s">
        <v>24</v>
      </c>
      <c r="I135" t="s">
        <v>337</v>
      </c>
      <c r="J135" t="s">
        <v>475</v>
      </c>
    </row>
    <row r="136" spans="1:10" x14ac:dyDescent="0.35">
      <c r="A136" t="s">
        <v>476</v>
      </c>
      <c r="B136" t="s">
        <v>42</v>
      </c>
      <c r="C136" t="s">
        <v>56</v>
      </c>
      <c r="D136">
        <v>373.46</v>
      </c>
      <c r="E136">
        <v>5</v>
      </c>
      <c r="F136" s="6">
        <v>42.62</v>
      </c>
      <c r="G136" s="4">
        <v>30.24</v>
      </c>
      <c r="H136" t="s">
        <v>48</v>
      </c>
      <c r="I136" t="s">
        <v>477</v>
      </c>
      <c r="J136" t="s">
        <v>478</v>
      </c>
    </row>
    <row r="137" spans="1:10" x14ac:dyDescent="0.35">
      <c r="A137" t="s">
        <v>479</v>
      </c>
      <c r="B137" t="s">
        <v>16</v>
      </c>
      <c r="C137" t="s">
        <v>56</v>
      </c>
      <c r="D137">
        <v>452.53</v>
      </c>
      <c r="E137">
        <v>4</v>
      </c>
      <c r="F137" s="6">
        <v>32.200000000000003</v>
      </c>
      <c r="G137" s="4">
        <v>96.68</v>
      </c>
      <c r="H137" t="s">
        <v>391</v>
      </c>
      <c r="I137" t="s">
        <v>480</v>
      </c>
      <c r="J137" t="s">
        <v>481</v>
      </c>
    </row>
    <row r="138" spans="1:10" x14ac:dyDescent="0.35">
      <c r="A138" t="s">
        <v>482</v>
      </c>
      <c r="B138" t="s">
        <v>42</v>
      </c>
      <c r="C138" t="s">
        <v>56</v>
      </c>
      <c r="D138">
        <v>310.3</v>
      </c>
      <c r="E138">
        <v>4</v>
      </c>
      <c r="F138" s="6">
        <v>26.83</v>
      </c>
      <c r="G138" s="4">
        <v>96.83</v>
      </c>
      <c r="H138" t="s">
        <v>483</v>
      </c>
      <c r="I138" t="s">
        <v>484</v>
      </c>
      <c r="J138" t="s">
        <v>485</v>
      </c>
    </row>
    <row r="139" spans="1:10" x14ac:dyDescent="0.35">
      <c r="A139" t="s">
        <v>486</v>
      </c>
      <c r="B139" t="s">
        <v>16</v>
      </c>
      <c r="C139" t="s">
        <v>32</v>
      </c>
      <c r="D139">
        <v>267.58999999999997</v>
      </c>
      <c r="E139">
        <v>3</v>
      </c>
      <c r="F139" s="6">
        <v>6.06</v>
      </c>
      <c r="G139" s="4">
        <v>89.15</v>
      </c>
      <c r="H139" t="s">
        <v>70</v>
      </c>
      <c r="I139" t="s">
        <v>487</v>
      </c>
      <c r="J139" t="s">
        <v>488</v>
      </c>
    </row>
    <row r="140" spans="1:10" x14ac:dyDescent="0.35">
      <c r="A140" t="s">
        <v>489</v>
      </c>
      <c r="B140" t="s">
        <v>10</v>
      </c>
      <c r="C140" t="s">
        <v>89</v>
      </c>
      <c r="D140">
        <v>278.95999999999998</v>
      </c>
      <c r="E140">
        <v>3</v>
      </c>
      <c r="F140" s="6">
        <v>14.23</v>
      </c>
      <c r="G140" s="4">
        <v>10.19</v>
      </c>
      <c r="H140" t="s">
        <v>19</v>
      </c>
      <c r="I140" t="s">
        <v>490</v>
      </c>
      <c r="J140" t="s">
        <v>491</v>
      </c>
    </row>
    <row r="141" spans="1:10" x14ac:dyDescent="0.35">
      <c r="A141" t="s">
        <v>492</v>
      </c>
      <c r="B141" t="s">
        <v>16</v>
      </c>
      <c r="C141" t="s">
        <v>56</v>
      </c>
      <c r="D141">
        <v>285.29000000000002</v>
      </c>
      <c r="E141">
        <v>3</v>
      </c>
      <c r="F141" s="6">
        <v>29.45</v>
      </c>
      <c r="G141" s="4">
        <v>88.71</v>
      </c>
      <c r="H141" t="s">
        <v>493</v>
      </c>
      <c r="I141" t="s">
        <v>494</v>
      </c>
      <c r="J141" t="s">
        <v>495</v>
      </c>
    </row>
    <row r="142" spans="1:10" x14ac:dyDescent="0.35">
      <c r="A142" t="s">
        <v>496</v>
      </c>
      <c r="B142" t="s">
        <v>16</v>
      </c>
      <c r="C142" t="s">
        <v>56</v>
      </c>
      <c r="D142">
        <v>379.88</v>
      </c>
      <c r="E142">
        <v>3</v>
      </c>
      <c r="F142" s="6">
        <v>2.8</v>
      </c>
      <c r="G142" s="4">
        <v>73.73</v>
      </c>
      <c r="H142" t="s">
        <v>497</v>
      </c>
      <c r="I142" t="s">
        <v>487</v>
      </c>
      <c r="J142" t="s">
        <v>498</v>
      </c>
    </row>
    <row r="143" spans="1:10" x14ac:dyDescent="0.35">
      <c r="A143" t="s">
        <v>499</v>
      </c>
      <c r="B143" t="s">
        <v>16</v>
      </c>
      <c r="C143" t="s">
        <v>61</v>
      </c>
      <c r="D143">
        <v>102.86</v>
      </c>
      <c r="E143">
        <v>5</v>
      </c>
      <c r="F143" s="6">
        <v>21.18</v>
      </c>
      <c r="G143" s="4">
        <v>36.79</v>
      </c>
      <c r="H143" t="s">
        <v>236</v>
      </c>
      <c r="I143" t="s">
        <v>500</v>
      </c>
      <c r="J143" t="s">
        <v>501</v>
      </c>
    </row>
    <row r="144" spans="1:10" x14ac:dyDescent="0.35">
      <c r="A144" t="s">
        <v>502</v>
      </c>
      <c r="B144" t="s">
        <v>16</v>
      </c>
      <c r="C144" t="s">
        <v>22</v>
      </c>
      <c r="D144">
        <v>232.47</v>
      </c>
      <c r="E144">
        <v>5</v>
      </c>
      <c r="F144" s="6">
        <v>25.34</v>
      </c>
      <c r="G144" s="4">
        <v>42.56</v>
      </c>
      <c r="H144" t="s">
        <v>503</v>
      </c>
      <c r="I144" t="s">
        <v>274</v>
      </c>
      <c r="J144" t="s">
        <v>504</v>
      </c>
    </row>
    <row r="145" spans="1:10" x14ac:dyDescent="0.35">
      <c r="A145" t="s">
        <v>505</v>
      </c>
      <c r="B145" t="s">
        <v>10</v>
      </c>
      <c r="C145" t="s">
        <v>27</v>
      </c>
      <c r="D145">
        <v>325.22000000000003</v>
      </c>
      <c r="E145">
        <v>4</v>
      </c>
      <c r="F145" s="6">
        <v>24.82</v>
      </c>
      <c r="G145" s="4">
        <v>38.71</v>
      </c>
      <c r="H145" t="s">
        <v>506</v>
      </c>
      <c r="I145" t="s">
        <v>507</v>
      </c>
      <c r="J145" t="s">
        <v>508</v>
      </c>
    </row>
    <row r="146" spans="1:10" x14ac:dyDescent="0.35">
      <c r="A146" t="s">
        <v>509</v>
      </c>
      <c r="B146" t="s">
        <v>16</v>
      </c>
      <c r="C146" t="s">
        <v>37</v>
      </c>
      <c r="D146">
        <v>309.36</v>
      </c>
      <c r="E146">
        <v>3</v>
      </c>
      <c r="F146" s="6">
        <v>28.01</v>
      </c>
      <c r="G146" s="4">
        <v>54.61</v>
      </c>
      <c r="H146" t="s">
        <v>74</v>
      </c>
      <c r="I146" t="s">
        <v>510</v>
      </c>
      <c r="J146" t="s">
        <v>511</v>
      </c>
    </row>
    <row r="147" spans="1:10" x14ac:dyDescent="0.35">
      <c r="A147" t="s">
        <v>512</v>
      </c>
      <c r="B147" t="s">
        <v>42</v>
      </c>
      <c r="C147" t="s">
        <v>56</v>
      </c>
      <c r="D147">
        <v>185.77</v>
      </c>
      <c r="E147">
        <v>4</v>
      </c>
      <c r="F147" s="6">
        <v>22.15</v>
      </c>
      <c r="G147" s="4">
        <v>39.43</v>
      </c>
      <c r="H147" t="s">
        <v>58</v>
      </c>
      <c r="I147" t="s">
        <v>513</v>
      </c>
      <c r="J147" t="s">
        <v>514</v>
      </c>
    </row>
    <row r="148" spans="1:10" x14ac:dyDescent="0.35">
      <c r="A148" t="s">
        <v>515</v>
      </c>
      <c r="B148" t="s">
        <v>16</v>
      </c>
      <c r="C148" t="s">
        <v>37</v>
      </c>
      <c r="D148">
        <v>173.65</v>
      </c>
      <c r="E148">
        <v>5</v>
      </c>
      <c r="F148" s="6">
        <v>11.5</v>
      </c>
      <c r="G148" s="4">
        <v>41.38</v>
      </c>
      <c r="H148" t="s">
        <v>516</v>
      </c>
      <c r="I148" t="s">
        <v>480</v>
      </c>
      <c r="J148" t="s">
        <v>517</v>
      </c>
    </row>
    <row r="149" spans="1:10" x14ac:dyDescent="0.35">
      <c r="A149" t="s">
        <v>518</v>
      </c>
      <c r="B149" t="s">
        <v>10</v>
      </c>
      <c r="C149" t="s">
        <v>56</v>
      </c>
      <c r="D149">
        <v>160.83000000000001</v>
      </c>
      <c r="E149">
        <v>5</v>
      </c>
      <c r="F149" s="6">
        <v>5.09</v>
      </c>
      <c r="G149" s="4">
        <v>98.86</v>
      </c>
      <c r="H149" t="s">
        <v>519</v>
      </c>
      <c r="I149" t="s">
        <v>503</v>
      </c>
      <c r="J149" t="s">
        <v>520</v>
      </c>
    </row>
    <row r="150" spans="1:10" x14ac:dyDescent="0.35">
      <c r="A150" t="s">
        <v>521</v>
      </c>
      <c r="B150" t="s">
        <v>42</v>
      </c>
      <c r="C150" t="s">
        <v>37</v>
      </c>
      <c r="D150">
        <v>443.19</v>
      </c>
      <c r="E150">
        <v>5</v>
      </c>
      <c r="F150" s="6">
        <v>35.18</v>
      </c>
      <c r="G150" s="4">
        <v>45.99</v>
      </c>
      <c r="H150" t="s">
        <v>522</v>
      </c>
      <c r="I150" t="s">
        <v>523</v>
      </c>
      <c r="J150" t="s">
        <v>524</v>
      </c>
    </row>
    <row r="151" spans="1:10" x14ac:dyDescent="0.35">
      <c r="A151" t="s">
        <v>525</v>
      </c>
      <c r="B151" t="s">
        <v>42</v>
      </c>
      <c r="C151" t="s">
        <v>22</v>
      </c>
      <c r="D151">
        <v>155.99</v>
      </c>
      <c r="E151">
        <v>3</v>
      </c>
      <c r="F151" s="6">
        <v>44.51</v>
      </c>
      <c r="G151" s="4">
        <v>99.07</v>
      </c>
      <c r="H151" t="s">
        <v>526</v>
      </c>
      <c r="I151" t="s">
        <v>527</v>
      </c>
      <c r="J151" t="s">
        <v>528</v>
      </c>
    </row>
    <row r="152" spans="1:10" x14ac:dyDescent="0.35">
      <c r="A152" t="s">
        <v>529</v>
      </c>
      <c r="B152" t="s">
        <v>16</v>
      </c>
      <c r="C152" t="s">
        <v>17</v>
      </c>
      <c r="D152">
        <v>362.46</v>
      </c>
      <c r="E152">
        <v>3</v>
      </c>
      <c r="F152" s="6">
        <v>20.149999999999999</v>
      </c>
      <c r="G152" s="4">
        <v>13.07</v>
      </c>
      <c r="H152" t="s">
        <v>530</v>
      </c>
      <c r="I152" t="s">
        <v>531</v>
      </c>
      <c r="J152" t="s">
        <v>532</v>
      </c>
    </row>
    <row r="153" spans="1:10" x14ac:dyDescent="0.35">
      <c r="A153" t="s">
        <v>533</v>
      </c>
      <c r="B153" t="s">
        <v>42</v>
      </c>
      <c r="C153" t="s">
        <v>22</v>
      </c>
      <c r="D153">
        <v>387.27</v>
      </c>
      <c r="E153">
        <v>4</v>
      </c>
      <c r="F153" s="6">
        <v>31.27</v>
      </c>
      <c r="G153" s="4">
        <v>64.59</v>
      </c>
      <c r="H153" t="s">
        <v>311</v>
      </c>
      <c r="I153" t="s">
        <v>90</v>
      </c>
      <c r="J153" t="s">
        <v>534</v>
      </c>
    </row>
    <row r="154" spans="1:10" x14ac:dyDescent="0.35">
      <c r="A154" t="s">
        <v>535</v>
      </c>
      <c r="B154" t="s">
        <v>10</v>
      </c>
      <c r="C154" t="s">
        <v>56</v>
      </c>
      <c r="D154">
        <v>259.99</v>
      </c>
      <c r="E154">
        <v>5</v>
      </c>
      <c r="F154" s="6">
        <v>21.5</v>
      </c>
      <c r="G154" s="4">
        <v>48.07</v>
      </c>
      <c r="H154" t="s">
        <v>109</v>
      </c>
      <c r="I154" t="s">
        <v>536</v>
      </c>
      <c r="J154" t="s">
        <v>537</v>
      </c>
    </row>
    <row r="155" spans="1:10" x14ac:dyDescent="0.35">
      <c r="A155" t="s">
        <v>538</v>
      </c>
      <c r="B155" t="s">
        <v>10</v>
      </c>
      <c r="C155" t="s">
        <v>27</v>
      </c>
      <c r="D155">
        <v>74.27</v>
      </c>
      <c r="E155">
        <v>5</v>
      </c>
      <c r="F155" s="6">
        <v>24.9</v>
      </c>
      <c r="G155" s="4">
        <v>45.59</v>
      </c>
      <c r="H155" t="s">
        <v>539</v>
      </c>
      <c r="I155" t="s">
        <v>540</v>
      </c>
      <c r="J155" t="s">
        <v>541</v>
      </c>
    </row>
    <row r="156" spans="1:10" x14ac:dyDescent="0.35">
      <c r="A156" t="s">
        <v>542</v>
      </c>
      <c r="B156" t="s">
        <v>10</v>
      </c>
      <c r="C156" t="s">
        <v>56</v>
      </c>
      <c r="D156">
        <v>264.3</v>
      </c>
      <c r="E156">
        <v>5</v>
      </c>
      <c r="F156" s="6">
        <v>5.39</v>
      </c>
      <c r="G156" s="4">
        <v>22.33</v>
      </c>
      <c r="H156" t="s">
        <v>71</v>
      </c>
      <c r="I156" t="s">
        <v>259</v>
      </c>
      <c r="J156" t="s">
        <v>543</v>
      </c>
    </row>
    <row r="157" spans="1:10" x14ac:dyDescent="0.35">
      <c r="A157" t="s">
        <v>544</v>
      </c>
      <c r="B157" t="s">
        <v>42</v>
      </c>
      <c r="C157" t="s">
        <v>47</v>
      </c>
      <c r="D157">
        <v>141.32</v>
      </c>
      <c r="E157">
        <v>3</v>
      </c>
      <c r="F157" s="6">
        <v>19.47</v>
      </c>
      <c r="G157" s="4">
        <v>92.44</v>
      </c>
      <c r="H157" t="s">
        <v>545</v>
      </c>
      <c r="I157" t="s">
        <v>546</v>
      </c>
      <c r="J157" t="s">
        <v>547</v>
      </c>
    </row>
    <row r="158" spans="1:10" x14ac:dyDescent="0.35">
      <c r="A158" t="s">
        <v>548</v>
      </c>
      <c r="B158" t="s">
        <v>42</v>
      </c>
      <c r="C158" t="s">
        <v>47</v>
      </c>
      <c r="D158">
        <v>240.44</v>
      </c>
      <c r="E158">
        <v>5</v>
      </c>
      <c r="F158" s="6">
        <v>35.76</v>
      </c>
      <c r="G158" s="4">
        <v>99.66</v>
      </c>
      <c r="H158" t="s">
        <v>58</v>
      </c>
      <c r="I158" t="s">
        <v>549</v>
      </c>
      <c r="J158" t="s">
        <v>550</v>
      </c>
    </row>
    <row r="159" spans="1:10" x14ac:dyDescent="0.35">
      <c r="A159" t="s">
        <v>551</v>
      </c>
      <c r="B159" t="s">
        <v>42</v>
      </c>
      <c r="C159" t="s">
        <v>32</v>
      </c>
      <c r="D159">
        <v>77.13</v>
      </c>
      <c r="E159">
        <v>5</v>
      </c>
      <c r="F159" s="6">
        <v>49.85</v>
      </c>
      <c r="G159" s="4">
        <v>59.62</v>
      </c>
      <c r="H159" t="s">
        <v>125</v>
      </c>
      <c r="I159" t="s">
        <v>426</v>
      </c>
      <c r="J159" t="s">
        <v>552</v>
      </c>
    </row>
    <row r="160" spans="1:10" x14ac:dyDescent="0.35">
      <c r="A160" t="s">
        <v>553</v>
      </c>
      <c r="B160" t="s">
        <v>42</v>
      </c>
      <c r="C160" t="s">
        <v>89</v>
      </c>
      <c r="D160">
        <v>372.63</v>
      </c>
      <c r="E160">
        <v>5</v>
      </c>
      <c r="F160" s="6">
        <v>19.86</v>
      </c>
      <c r="G160" s="4">
        <v>12.08</v>
      </c>
      <c r="H160" t="s">
        <v>554</v>
      </c>
      <c r="I160" t="s">
        <v>555</v>
      </c>
      <c r="J160" t="s">
        <v>556</v>
      </c>
    </row>
    <row r="161" spans="1:10" x14ac:dyDescent="0.35">
      <c r="A161" t="s">
        <v>557</v>
      </c>
      <c r="B161" t="s">
        <v>16</v>
      </c>
      <c r="C161" t="s">
        <v>61</v>
      </c>
      <c r="D161">
        <v>326.11</v>
      </c>
      <c r="E161">
        <v>4</v>
      </c>
      <c r="F161" s="6">
        <v>12.12</v>
      </c>
      <c r="G161" s="4">
        <v>22.36</v>
      </c>
      <c r="H161" t="s">
        <v>341</v>
      </c>
      <c r="I161" t="s">
        <v>558</v>
      </c>
      <c r="J161" t="s">
        <v>559</v>
      </c>
    </row>
    <row r="162" spans="1:10" x14ac:dyDescent="0.35">
      <c r="A162" t="s">
        <v>560</v>
      </c>
      <c r="B162" t="s">
        <v>42</v>
      </c>
      <c r="C162" t="s">
        <v>32</v>
      </c>
      <c r="D162">
        <v>286.44</v>
      </c>
      <c r="E162">
        <v>3</v>
      </c>
      <c r="F162" s="6">
        <v>17.63</v>
      </c>
      <c r="G162" s="4">
        <v>39.92</v>
      </c>
      <c r="H162" t="s">
        <v>561</v>
      </c>
      <c r="I162" t="s">
        <v>338</v>
      </c>
      <c r="J162" t="s">
        <v>562</v>
      </c>
    </row>
    <row r="163" spans="1:10" x14ac:dyDescent="0.35">
      <c r="A163" t="s">
        <v>563</v>
      </c>
      <c r="B163" t="s">
        <v>10</v>
      </c>
      <c r="C163" t="s">
        <v>11</v>
      </c>
      <c r="D163">
        <v>397.48</v>
      </c>
      <c r="E163">
        <v>3</v>
      </c>
      <c r="F163" s="6">
        <v>14.63</v>
      </c>
      <c r="G163" s="4">
        <v>19.07</v>
      </c>
      <c r="H163" t="s">
        <v>545</v>
      </c>
      <c r="I163" t="s">
        <v>304</v>
      </c>
      <c r="J163" t="s">
        <v>564</v>
      </c>
    </row>
    <row r="164" spans="1:10" x14ac:dyDescent="0.35">
      <c r="A164" t="s">
        <v>565</v>
      </c>
      <c r="B164" t="s">
        <v>42</v>
      </c>
      <c r="C164" t="s">
        <v>17</v>
      </c>
      <c r="D164">
        <v>291.64</v>
      </c>
      <c r="E164">
        <v>5</v>
      </c>
      <c r="F164" s="6">
        <v>4.3899999999999997</v>
      </c>
      <c r="G164" s="4">
        <v>24.51</v>
      </c>
      <c r="H164" t="s">
        <v>566</v>
      </c>
      <c r="I164" t="s">
        <v>545</v>
      </c>
      <c r="J164" t="s">
        <v>567</v>
      </c>
    </row>
    <row r="165" spans="1:10" x14ac:dyDescent="0.35">
      <c r="A165" t="s">
        <v>568</v>
      </c>
      <c r="B165" t="s">
        <v>16</v>
      </c>
      <c r="C165" t="s">
        <v>56</v>
      </c>
      <c r="D165">
        <v>188.79</v>
      </c>
      <c r="E165">
        <v>3</v>
      </c>
      <c r="F165" s="6">
        <v>4.4000000000000004</v>
      </c>
      <c r="G165" s="4">
        <v>81.17</v>
      </c>
      <c r="H165" t="s">
        <v>503</v>
      </c>
      <c r="I165" t="s">
        <v>117</v>
      </c>
      <c r="J165" t="s">
        <v>569</v>
      </c>
    </row>
    <row r="166" spans="1:10" x14ac:dyDescent="0.35">
      <c r="A166" t="s">
        <v>570</v>
      </c>
      <c r="B166" t="s">
        <v>42</v>
      </c>
      <c r="C166" t="s">
        <v>27</v>
      </c>
      <c r="D166">
        <v>465.23</v>
      </c>
      <c r="E166">
        <v>3</v>
      </c>
      <c r="F166" s="6">
        <v>12.14</v>
      </c>
      <c r="G166" s="4">
        <v>78.41</v>
      </c>
      <c r="H166" t="s">
        <v>571</v>
      </c>
      <c r="I166" t="s">
        <v>572</v>
      </c>
      <c r="J166" t="s">
        <v>573</v>
      </c>
    </row>
    <row r="167" spans="1:10" x14ac:dyDescent="0.35">
      <c r="A167" t="s">
        <v>574</v>
      </c>
      <c r="B167" t="s">
        <v>16</v>
      </c>
      <c r="C167" t="s">
        <v>17</v>
      </c>
      <c r="D167">
        <v>56.48</v>
      </c>
      <c r="E167">
        <v>3</v>
      </c>
      <c r="F167" s="6">
        <v>28.47</v>
      </c>
      <c r="G167" s="4">
        <v>90.19</v>
      </c>
      <c r="H167" t="s">
        <v>338</v>
      </c>
      <c r="I167" t="s">
        <v>575</v>
      </c>
      <c r="J167" t="s">
        <v>576</v>
      </c>
    </row>
    <row r="168" spans="1:10" x14ac:dyDescent="0.35">
      <c r="A168" t="s">
        <v>577</v>
      </c>
      <c r="B168" t="s">
        <v>16</v>
      </c>
      <c r="C168" t="s">
        <v>37</v>
      </c>
      <c r="D168">
        <v>339.58</v>
      </c>
      <c r="E168">
        <v>4</v>
      </c>
      <c r="F168" s="6">
        <v>8.35</v>
      </c>
      <c r="G168" s="4">
        <v>51.59</v>
      </c>
      <c r="H168" t="s">
        <v>416</v>
      </c>
      <c r="I168" t="s">
        <v>578</v>
      </c>
      <c r="J168" t="s">
        <v>579</v>
      </c>
    </row>
    <row r="169" spans="1:10" x14ac:dyDescent="0.35">
      <c r="A169" t="s">
        <v>580</v>
      </c>
      <c r="B169" t="s">
        <v>16</v>
      </c>
      <c r="C169" t="s">
        <v>47</v>
      </c>
      <c r="D169">
        <v>436.78</v>
      </c>
      <c r="E169">
        <v>3</v>
      </c>
      <c r="F169" s="6">
        <v>47.81</v>
      </c>
      <c r="G169" s="4">
        <v>68.89</v>
      </c>
      <c r="H169" t="s">
        <v>220</v>
      </c>
      <c r="I169" t="s">
        <v>581</v>
      </c>
      <c r="J169" t="s">
        <v>582</v>
      </c>
    </row>
    <row r="170" spans="1:10" x14ac:dyDescent="0.35">
      <c r="A170" t="s">
        <v>583</v>
      </c>
      <c r="B170" t="s">
        <v>10</v>
      </c>
      <c r="C170" t="s">
        <v>47</v>
      </c>
      <c r="D170">
        <v>376.34</v>
      </c>
      <c r="E170">
        <v>4</v>
      </c>
      <c r="F170" s="6">
        <v>32.64</v>
      </c>
      <c r="G170" s="4">
        <v>92.42</v>
      </c>
      <c r="H170" t="s">
        <v>146</v>
      </c>
      <c r="I170" t="s">
        <v>182</v>
      </c>
      <c r="J170" t="s">
        <v>584</v>
      </c>
    </row>
    <row r="171" spans="1:10" x14ac:dyDescent="0.35">
      <c r="A171" t="s">
        <v>585</v>
      </c>
      <c r="B171" t="s">
        <v>16</v>
      </c>
      <c r="C171" t="s">
        <v>22</v>
      </c>
      <c r="D171">
        <v>194.79</v>
      </c>
      <c r="E171">
        <v>3</v>
      </c>
      <c r="F171" s="6">
        <v>3.1</v>
      </c>
      <c r="G171" s="4">
        <v>48.45</v>
      </c>
      <c r="H171" t="s">
        <v>586</v>
      </c>
      <c r="I171" t="s">
        <v>256</v>
      </c>
      <c r="J171" t="s">
        <v>587</v>
      </c>
    </row>
    <row r="172" spans="1:10" x14ac:dyDescent="0.35">
      <c r="A172" t="s">
        <v>588</v>
      </c>
      <c r="B172" t="s">
        <v>16</v>
      </c>
      <c r="C172" t="s">
        <v>47</v>
      </c>
      <c r="D172">
        <v>439.1</v>
      </c>
      <c r="E172">
        <v>3</v>
      </c>
      <c r="F172" s="6">
        <v>32.78</v>
      </c>
      <c r="G172" s="4">
        <v>55.55</v>
      </c>
      <c r="H172" t="s">
        <v>589</v>
      </c>
      <c r="I172" t="s">
        <v>590</v>
      </c>
      <c r="J172" t="s">
        <v>591</v>
      </c>
    </row>
    <row r="173" spans="1:10" x14ac:dyDescent="0.35">
      <c r="A173" t="s">
        <v>592</v>
      </c>
      <c r="B173" t="s">
        <v>42</v>
      </c>
      <c r="C173" t="s">
        <v>11</v>
      </c>
      <c r="D173">
        <v>491.43</v>
      </c>
      <c r="E173">
        <v>5</v>
      </c>
      <c r="F173" s="6">
        <v>45.84</v>
      </c>
      <c r="G173" s="4">
        <v>74.599999999999994</v>
      </c>
      <c r="H173" t="s">
        <v>593</v>
      </c>
      <c r="I173" t="s">
        <v>594</v>
      </c>
      <c r="J173" t="s">
        <v>595</v>
      </c>
    </row>
    <row r="174" spans="1:10" x14ac:dyDescent="0.35">
      <c r="A174" t="s">
        <v>596</v>
      </c>
      <c r="B174" t="s">
        <v>42</v>
      </c>
      <c r="C174" t="s">
        <v>17</v>
      </c>
      <c r="D174">
        <v>79.38</v>
      </c>
      <c r="E174">
        <v>4</v>
      </c>
      <c r="F174" s="6">
        <v>30.93</v>
      </c>
      <c r="G174" s="4">
        <v>67.98</v>
      </c>
      <c r="H174" t="s">
        <v>291</v>
      </c>
      <c r="I174" t="s">
        <v>597</v>
      </c>
      <c r="J174" t="s">
        <v>598</v>
      </c>
    </row>
    <row r="175" spans="1:10" x14ac:dyDescent="0.35">
      <c r="A175" t="s">
        <v>599</v>
      </c>
      <c r="B175" t="s">
        <v>16</v>
      </c>
      <c r="C175" t="s">
        <v>61</v>
      </c>
      <c r="D175">
        <v>142.65</v>
      </c>
      <c r="E175">
        <v>4</v>
      </c>
      <c r="F175" s="6">
        <v>6.49</v>
      </c>
      <c r="G175" s="4">
        <v>63.63</v>
      </c>
      <c r="H175" t="s">
        <v>600</v>
      </c>
      <c r="I175" t="s">
        <v>62</v>
      </c>
      <c r="J175" t="s">
        <v>601</v>
      </c>
    </row>
    <row r="176" spans="1:10" x14ac:dyDescent="0.35">
      <c r="A176" t="s">
        <v>602</v>
      </c>
      <c r="B176" t="s">
        <v>10</v>
      </c>
      <c r="C176" t="s">
        <v>37</v>
      </c>
      <c r="D176">
        <v>182.51</v>
      </c>
      <c r="E176">
        <v>3</v>
      </c>
      <c r="F176" s="6">
        <v>37.130000000000003</v>
      </c>
      <c r="G176" s="4">
        <v>40.79</v>
      </c>
      <c r="H176" t="s">
        <v>603</v>
      </c>
      <c r="I176" t="s">
        <v>604</v>
      </c>
      <c r="J176" t="s">
        <v>605</v>
      </c>
    </row>
    <row r="177" spans="1:10" x14ac:dyDescent="0.35">
      <c r="A177" t="s">
        <v>606</v>
      </c>
      <c r="B177" t="s">
        <v>10</v>
      </c>
      <c r="C177" t="s">
        <v>22</v>
      </c>
      <c r="D177">
        <v>93.92</v>
      </c>
      <c r="E177">
        <v>3</v>
      </c>
      <c r="F177" s="6">
        <v>13.64</v>
      </c>
      <c r="G177" s="4">
        <v>23.93</v>
      </c>
      <c r="H177" t="s">
        <v>337</v>
      </c>
      <c r="I177" t="s">
        <v>607</v>
      </c>
      <c r="J177" t="s">
        <v>608</v>
      </c>
    </row>
    <row r="178" spans="1:10" x14ac:dyDescent="0.35">
      <c r="A178" t="s">
        <v>609</v>
      </c>
      <c r="B178" t="s">
        <v>10</v>
      </c>
      <c r="C178" t="s">
        <v>17</v>
      </c>
      <c r="D178">
        <v>269.75</v>
      </c>
      <c r="E178">
        <v>5</v>
      </c>
      <c r="F178" s="6">
        <v>14.35</v>
      </c>
      <c r="G178" s="4">
        <v>41.54</v>
      </c>
      <c r="H178" t="s">
        <v>610</v>
      </c>
      <c r="I178" t="s">
        <v>18</v>
      </c>
      <c r="J178" t="s">
        <v>611</v>
      </c>
    </row>
    <row r="179" spans="1:10" x14ac:dyDescent="0.35">
      <c r="A179" t="s">
        <v>612</v>
      </c>
      <c r="B179" t="s">
        <v>16</v>
      </c>
      <c r="C179" t="s">
        <v>11</v>
      </c>
      <c r="D179">
        <v>293.45</v>
      </c>
      <c r="E179">
        <v>3</v>
      </c>
      <c r="F179" s="6">
        <v>20.260000000000002</v>
      </c>
      <c r="G179" s="4">
        <v>57.88</v>
      </c>
      <c r="H179" t="s">
        <v>358</v>
      </c>
      <c r="I179" t="s">
        <v>613</v>
      </c>
      <c r="J179" t="s">
        <v>614</v>
      </c>
    </row>
    <row r="180" spans="1:10" x14ac:dyDescent="0.35">
      <c r="A180" t="s">
        <v>615</v>
      </c>
      <c r="B180" t="s">
        <v>42</v>
      </c>
      <c r="C180" t="s">
        <v>32</v>
      </c>
      <c r="D180">
        <v>336.19</v>
      </c>
      <c r="E180">
        <v>3</v>
      </c>
      <c r="F180" s="6">
        <v>19.829999999999998</v>
      </c>
      <c r="G180" s="4">
        <v>96.78</v>
      </c>
      <c r="H180" t="s">
        <v>209</v>
      </c>
      <c r="I180" t="s">
        <v>155</v>
      </c>
      <c r="J180" t="s">
        <v>616</v>
      </c>
    </row>
    <row r="181" spans="1:10" x14ac:dyDescent="0.35">
      <c r="A181" t="s">
        <v>617</v>
      </c>
      <c r="B181" t="s">
        <v>10</v>
      </c>
      <c r="C181" t="s">
        <v>89</v>
      </c>
      <c r="D181">
        <v>150.26</v>
      </c>
      <c r="E181">
        <v>3</v>
      </c>
      <c r="F181" s="6">
        <v>5.15</v>
      </c>
      <c r="G181" s="4">
        <v>91.95</v>
      </c>
      <c r="H181" t="s">
        <v>618</v>
      </c>
      <c r="I181" t="s">
        <v>300</v>
      </c>
      <c r="J181" t="s">
        <v>619</v>
      </c>
    </row>
    <row r="182" spans="1:10" x14ac:dyDescent="0.35">
      <c r="A182" t="s">
        <v>620</v>
      </c>
      <c r="B182" t="s">
        <v>10</v>
      </c>
      <c r="C182" t="s">
        <v>37</v>
      </c>
      <c r="D182">
        <v>479.82</v>
      </c>
      <c r="E182">
        <v>3</v>
      </c>
      <c r="F182" s="6">
        <v>21.8</v>
      </c>
      <c r="G182" s="4">
        <v>17.32</v>
      </c>
      <c r="H182" t="s">
        <v>621</v>
      </c>
      <c r="I182" t="s">
        <v>165</v>
      </c>
      <c r="J182" t="s">
        <v>622</v>
      </c>
    </row>
    <row r="183" spans="1:10" x14ac:dyDescent="0.35">
      <c r="A183" t="s">
        <v>623</v>
      </c>
      <c r="B183" t="s">
        <v>10</v>
      </c>
      <c r="C183" t="s">
        <v>89</v>
      </c>
      <c r="D183">
        <v>343.86</v>
      </c>
      <c r="E183">
        <v>3</v>
      </c>
      <c r="F183" s="6">
        <v>22.42</v>
      </c>
      <c r="G183" s="4">
        <v>91.87</v>
      </c>
      <c r="H183" t="s">
        <v>624</v>
      </c>
      <c r="I183" t="s">
        <v>74</v>
      </c>
      <c r="J183" t="s">
        <v>625</v>
      </c>
    </row>
    <row r="184" spans="1:10" x14ac:dyDescent="0.35">
      <c r="A184" t="s">
        <v>626</v>
      </c>
      <c r="B184" t="s">
        <v>10</v>
      </c>
      <c r="C184" t="s">
        <v>61</v>
      </c>
      <c r="D184">
        <v>347.12</v>
      </c>
      <c r="E184">
        <v>3</v>
      </c>
      <c r="F184" s="6">
        <v>42.56</v>
      </c>
      <c r="G184" s="4">
        <v>27.03</v>
      </c>
      <c r="H184" t="s">
        <v>417</v>
      </c>
      <c r="I184" t="s">
        <v>373</v>
      </c>
      <c r="J184" t="s">
        <v>627</v>
      </c>
    </row>
    <row r="185" spans="1:10" x14ac:dyDescent="0.35">
      <c r="A185" t="s">
        <v>628</v>
      </c>
      <c r="B185" t="s">
        <v>42</v>
      </c>
      <c r="C185" t="s">
        <v>17</v>
      </c>
      <c r="D185">
        <v>398.35</v>
      </c>
      <c r="E185">
        <v>3</v>
      </c>
      <c r="F185" s="6">
        <v>17.54</v>
      </c>
      <c r="G185" s="4">
        <v>52.16</v>
      </c>
      <c r="H185" t="s">
        <v>263</v>
      </c>
      <c r="I185" t="s">
        <v>182</v>
      </c>
      <c r="J185" t="s">
        <v>629</v>
      </c>
    </row>
    <row r="186" spans="1:10" x14ac:dyDescent="0.35">
      <c r="A186" t="s">
        <v>630</v>
      </c>
      <c r="B186" t="s">
        <v>16</v>
      </c>
      <c r="C186" t="s">
        <v>47</v>
      </c>
      <c r="D186">
        <v>123.54</v>
      </c>
      <c r="E186">
        <v>3</v>
      </c>
      <c r="F186" s="6">
        <v>6.49</v>
      </c>
      <c r="G186" s="4">
        <v>23.12</v>
      </c>
      <c r="H186" t="s">
        <v>53</v>
      </c>
      <c r="I186" t="s">
        <v>135</v>
      </c>
      <c r="J186" t="s">
        <v>631</v>
      </c>
    </row>
    <row r="187" spans="1:10" x14ac:dyDescent="0.35">
      <c r="A187" t="s">
        <v>632</v>
      </c>
      <c r="B187" t="s">
        <v>16</v>
      </c>
      <c r="C187" t="s">
        <v>61</v>
      </c>
      <c r="D187">
        <v>194.69</v>
      </c>
      <c r="E187">
        <v>4</v>
      </c>
      <c r="F187" s="6">
        <v>19.98</v>
      </c>
      <c r="G187" s="4">
        <v>94.92</v>
      </c>
      <c r="H187" t="s">
        <v>633</v>
      </c>
      <c r="I187" t="s">
        <v>634</v>
      </c>
      <c r="J187" t="s">
        <v>635</v>
      </c>
    </row>
    <row r="188" spans="1:10" x14ac:dyDescent="0.35">
      <c r="A188" t="s">
        <v>636</v>
      </c>
      <c r="B188" t="s">
        <v>16</v>
      </c>
      <c r="C188" t="s">
        <v>37</v>
      </c>
      <c r="D188">
        <v>409.79</v>
      </c>
      <c r="E188">
        <v>5</v>
      </c>
      <c r="F188" s="6">
        <v>49.98</v>
      </c>
      <c r="G188" s="4">
        <v>27.8</v>
      </c>
      <c r="H188" t="s">
        <v>66</v>
      </c>
      <c r="I188" t="s">
        <v>33</v>
      </c>
      <c r="J188" t="s">
        <v>637</v>
      </c>
    </row>
    <row r="189" spans="1:10" x14ac:dyDescent="0.35">
      <c r="A189" t="s">
        <v>638</v>
      </c>
      <c r="B189" t="s">
        <v>42</v>
      </c>
      <c r="C189" t="s">
        <v>22</v>
      </c>
      <c r="D189">
        <v>406.86</v>
      </c>
      <c r="E189">
        <v>3</v>
      </c>
      <c r="F189" s="6">
        <v>32.450000000000003</v>
      </c>
      <c r="G189" s="4">
        <v>24.45</v>
      </c>
      <c r="H189" t="s">
        <v>396</v>
      </c>
      <c r="I189" t="s">
        <v>639</v>
      </c>
      <c r="J189" t="s">
        <v>640</v>
      </c>
    </row>
    <row r="190" spans="1:10" x14ac:dyDescent="0.35">
      <c r="A190" t="s">
        <v>641</v>
      </c>
      <c r="B190" t="s">
        <v>10</v>
      </c>
      <c r="C190" t="s">
        <v>89</v>
      </c>
      <c r="D190">
        <v>195.56</v>
      </c>
      <c r="E190">
        <v>5</v>
      </c>
      <c r="F190" s="6">
        <v>13.34</v>
      </c>
      <c r="G190" s="4">
        <v>85.78</v>
      </c>
      <c r="H190" t="s">
        <v>109</v>
      </c>
      <c r="I190" t="s">
        <v>445</v>
      </c>
      <c r="J190" t="s">
        <v>642</v>
      </c>
    </row>
    <row r="191" spans="1:10" x14ac:dyDescent="0.35">
      <c r="A191" t="s">
        <v>643</v>
      </c>
      <c r="B191" t="s">
        <v>42</v>
      </c>
      <c r="C191" t="s">
        <v>27</v>
      </c>
      <c r="D191">
        <v>219.06</v>
      </c>
      <c r="E191">
        <v>4</v>
      </c>
      <c r="F191" s="6">
        <v>33.369999999999997</v>
      </c>
      <c r="G191" s="4">
        <v>30.19</v>
      </c>
      <c r="H191" t="s">
        <v>277</v>
      </c>
      <c r="I191" t="s">
        <v>146</v>
      </c>
      <c r="J191" t="s">
        <v>644</v>
      </c>
    </row>
    <row r="192" spans="1:10" x14ac:dyDescent="0.35">
      <c r="A192" t="s">
        <v>645</v>
      </c>
      <c r="B192" t="s">
        <v>16</v>
      </c>
      <c r="C192" t="s">
        <v>37</v>
      </c>
      <c r="D192">
        <v>154.13999999999999</v>
      </c>
      <c r="E192">
        <v>4</v>
      </c>
      <c r="F192" s="6">
        <v>22.13</v>
      </c>
      <c r="G192" s="4">
        <v>72.03</v>
      </c>
      <c r="H192" t="s">
        <v>540</v>
      </c>
      <c r="I192" t="s">
        <v>437</v>
      </c>
      <c r="J192" t="s">
        <v>646</v>
      </c>
    </row>
    <row r="193" spans="1:10" x14ac:dyDescent="0.35">
      <c r="A193" t="s">
        <v>647</v>
      </c>
      <c r="B193" t="s">
        <v>42</v>
      </c>
      <c r="C193" t="s">
        <v>37</v>
      </c>
      <c r="D193">
        <v>424.49</v>
      </c>
      <c r="E193">
        <v>3</v>
      </c>
      <c r="F193" s="6">
        <v>22.2</v>
      </c>
      <c r="G193" s="4">
        <v>20.51</v>
      </c>
      <c r="H193" t="s">
        <v>162</v>
      </c>
      <c r="I193" t="s">
        <v>558</v>
      </c>
      <c r="J193" t="s">
        <v>648</v>
      </c>
    </row>
    <row r="194" spans="1:10" x14ac:dyDescent="0.35">
      <c r="A194" t="s">
        <v>649</v>
      </c>
      <c r="B194" t="s">
        <v>42</v>
      </c>
      <c r="C194" t="s">
        <v>61</v>
      </c>
      <c r="D194">
        <v>422.51</v>
      </c>
      <c r="E194">
        <v>3</v>
      </c>
      <c r="F194" s="6">
        <v>4.4000000000000004</v>
      </c>
      <c r="G194" s="4">
        <v>42.5</v>
      </c>
      <c r="H194" t="s">
        <v>650</v>
      </c>
      <c r="I194" t="s">
        <v>651</v>
      </c>
      <c r="J194" t="s">
        <v>652</v>
      </c>
    </row>
    <row r="195" spans="1:10" x14ac:dyDescent="0.35">
      <c r="A195" t="s">
        <v>653</v>
      </c>
      <c r="B195" t="s">
        <v>42</v>
      </c>
      <c r="C195" t="s">
        <v>56</v>
      </c>
      <c r="D195">
        <v>299.14999999999998</v>
      </c>
      <c r="E195">
        <v>3</v>
      </c>
      <c r="F195" s="6">
        <v>28.59</v>
      </c>
      <c r="G195" s="4">
        <v>40.36</v>
      </c>
      <c r="H195" t="s">
        <v>613</v>
      </c>
      <c r="I195" t="s">
        <v>158</v>
      </c>
      <c r="J195" t="s">
        <v>654</v>
      </c>
    </row>
    <row r="196" spans="1:10" x14ac:dyDescent="0.35">
      <c r="A196" t="s">
        <v>655</v>
      </c>
      <c r="B196" t="s">
        <v>42</v>
      </c>
      <c r="C196" t="s">
        <v>61</v>
      </c>
      <c r="D196">
        <v>190.8</v>
      </c>
      <c r="E196">
        <v>5</v>
      </c>
      <c r="F196" s="6">
        <v>48.89</v>
      </c>
      <c r="G196" s="4">
        <v>70.39</v>
      </c>
      <c r="H196" t="s">
        <v>287</v>
      </c>
      <c r="I196" t="s">
        <v>71</v>
      </c>
      <c r="J196" t="s">
        <v>656</v>
      </c>
    </row>
    <row r="197" spans="1:10" x14ac:dyDescent="0.35">
      <c r="A197" t="s">
        <v>657</v>
      </c>
      <c r="B197" t="s">
        <v>10</v>
      </c>
      <c r="C197" t="s">
        <v>37</v>
      </c>
      <c r="D197">
        <v>103.24</v>
      </c>
      <c r="E197">
        <v>3</v>
      </c>
      <c r="F197" s="6">
        <v>10.87</v>
      </c>
      <c r="G197" s="4">
        <v>75.34</v>
      </c>
      <c r="H197" t="s">
        <v>658</v>
      </c>
      <c r="I197" t="s">
        <v>206</v>
      </c>
      <c r="J197" t="s">
        <v>659</v>
      </c>
    </row>
    <row r="198" spans="1:10" x14ac:dyDescent="0.35">
      <c r="A198" t="s">
        <v>660</v>
      </c>
      <c r="B198" t="s">
        <v>10</v>
      </c>
      <c r="C198" t="s">
        <v>22</v>
      </c>
      <c r="D198">
        <v>489.99</v>
      </c>
      <c r="E198">
        <v>5</v>
      </c>
      <c r="F198" s="6">
        <v>22.21</v>
      </c>
      <c r="G198" s="4">
        <v>46.56</v>
      </c>
      <c r="H198" t="s">
        <v>661</v>
      </c>
      <c r="I198" t="s">
        <v>404</v>
      </c>
      <c r="J198" t="s">
        <v>662</v>
      </c>
    </row>
    <row r="199" spans="1:10" x14ac:dyDescent="0.35">
      <c r="A199" t="s">
        <v>663</v>
      </c>
      <c r="B199" t="s">
        <v>16</v>
      </c>
      <c r="C199" t="s">
        <v>11</v>
      </c>
      <c r="D199">
        <v>176.66</v>
      </c>
      <c r="E199">
        <v>4</v>
      </c>
      <c r="F199" s="6">
        <v>39.1</v>
      </c>
      <c r="G199" s="4">
        <v>91.04</v>
      </c>
      <c r="H199" t="s">
        <v>233</v>
      </c>
      <c r="I199" t="s">
        <v>183</v>
      </c>
      <c r="J199" t="s">
        <v>664</v>
      </c>
    </row>
    <row r="200" spans="1:10" x14ac:dyDescent="0.35">
      <c r="A200" t="s">
        <v>665</v>
      </c>
      <c r="B200" t="s">
        <v>42</v>
      </c>
      <c r="C200" t="s">
        <v>61</v>
      </c>
      <c r="D200">
        <v>285.86</v>
      </c>
      <c r="E200">
        <v>4</v>
      </c>
      <c r="F200" s="6">
        <v>42.16</v>
      </c>
      <c r="G200" s="4">
        <v>74.27</v>
      </c>
      <c r="H200" t="s">
        <v>539</v>
      </c>
      <c r="I200" t="s">
        <v>666</v>
      </c>
      <c r="J200" t="s">
        <v>667</v>
      </c>
    </row>
    <row r="201" spans="1:10" x14ac:dyDescent="0.35">
      <c r="A201" t="s">
        <v>668</v>
      </c>
      <c r="B201" t="s">
        <v>10</v>
      </c>
      <c r="C201" t="s">
        <v>22</v>
      </c>
      <c r="D201">
        <v>85.51</v>
      </c>
      <c r="E201">
        <v>5</v>
      </c>
      <c r="F201" s="6">
        <v>40.81</v>
      </c>
      <c r="G201" s="4">
        <v>79.430000000000007</v>
      </c>
      <c r="H201" t="s">
        <v>158</v>
      </c>
      <c r="I201" t="s">
        <v>206</v>
      </c>
      <c r="J201" t="s">
        <v>669</v>
      </c>
    </row>
    <row r="202" spans="1:10" x14ac:dyDescent="0.35">
      <c r="A202" t="s">
        <v>670</v>
      </c>
      <c r="B202" t="s">
        <v>42</v>
      </c>
      <c r="C202" t="s">
        <v>22</v>
      </c>
      <c r="D202">
        <v>478.49</v>
      </c>
      <c r="E202">
        <v>4</v>
      </c>
      <c r="F202" s="6">
        <v>49.76</v>
      </c>
      <c r="G202" s="4">
        <v>32.68</v>
      </c>
      <c r="H202" t="s">
        <v>477</v>
      </c>
      <c r="I202" t="s">
        <v>19</v>
      </c>
      <c r="J202" t="s">
        <v>671</v>
      </c>
    </row>
    <row r="203" spans="1:10" x14ac:dyDescent="0.35">
      <c r="A203" t="s">
        <v>672</v>
      </c>
      <c r="B203" t="s">
        <v>42</v>
      </c>
      <c r="C203" t="s">
        <v>56</v>
      </c>
      <c r="D203">
        <v>226.16</v>
      </c>
      <c r="E203">
        <v>3</v>
      </c>
      <c r="F203" s="6">
        <v>17.93</v>
      </c>
      <c r="G203" s="4">
        <v>95.28</v>
      </c>
      <c r="H203" t="s">
        <v>673</v>
      </c>
      <c r="I203" t="s">
        <v>277</v>
      </c>
      <c r="J203" t="s">
        <v>674</v>
      </c>
    </row>
    <row r="204" spans="1:10" x14ac:dyDescent="0.35">
      <c r="A204" t="s">
        <v>675</v>
      </c>
      <c r="B204" t="s">
        <v>10</v>
      </c>
      <c r="C204" t="s">
        <v>56</v>
      </c>
      <c r="D204">
        <v>205.11</v>
      </c>
      <c r="E204">
        <v>5</v>
      </c>
      <c r="F204" s="6">
        <v>13.2</v>
      </c>
      <c r="G204" s="4">
        <v>60.05</v>
      </c>
      <c r="H204" t="s">
        <v>676</v>
      </c>
      <c r="I204" t="s">
        <v>477</v>
      </c>
      <c r="J204" t="s">
        <v>677</v>
      </c>
    </row>
    <row r="205" spans="1:10" x14ac:dyDescent="0.35">
      <c r="A205" t="s">
        <v>678</v>
      </c>
      <c r="B205" t="s">
        <v>16</v>
      </c>
      <c r="C205" t="s">
        <v>37</v>
      </c>
      <c r="D205">
        <v>126.87</v>
      </c>
      <c r="E205">
        <v>3</v>
      </c>
      <c r="F205" s="6">
        <v>3.82</v>
      </c>
      <c r="G205" s="4">
        <v>63.61</v>
      </c>
      <c r="H205" t="s">
        <v>18</v>
      </c>
      <c r="I205" t="s">
        <v>679</v>
      </c>
      <c r="J205" t="s">
        <v>680</v>
      </c>
    </row>
    <row r="206" spans="1:10" x14ac:dyDescent="0.35">
      <c r="A206" t="s">
        <v>681</v>
      </c>
      <c r="B206" t="s">
        <v>42</v>
      </c>
      <c r="C206" t="s">
        <v>56</v>
      </c>
      <c r="D206">
        <v>88.66</v>
      </c>
      <c r="E206">
        <v>5</v>
      </c>
      <c r="F206" s="6">
        <v>4.0199999999999996</v>
      </c>
      <c r="G206" s="4">
        <v>11.42</v>
      </c>
      <c r="H206" t="s">
        <v>192</v>
      </c>
      <c r="I206" t="s">
        <v>545</v>
      </c>
      <c r="J206" t="s">
        <v>682</v>
      </c>
    </row>
    <row r="207" spans="1:10" x14ac:dyDescent="0.35">
      <c r="A207" t="s">
        <v>683</v>
      </c>
      <c r="B207" t="s">
        <v>42</v>
      </c>
      <c r="C207" t="s">
        <v>32</v>
      </c>
      <c r="D207">
        <v>240.53</v>
      </c>
      <c r="E207">
        <v>4</v>
      </c>
      <c r="F207" s="6">
        <v>49.1</v>
      </c>
      <c r="G207" s="4">
        <v>20.13</v>
      </c>
      <c r="H207" t="s">
        <v>571</v>
      </c>
      <c r="I207" t="s">
        <v>404</v>
      </c>
      <c r="J207" t="s">
        <v>684</v>
      </c>
    </row>
    <row r="208" spans="1:10" x14ac:dyDescent="0.35">
      <c r="A208" t="s">
        <v>685</v>
      </c>
      <c r="B208" t="s">
        <v>42</v>
      </c>
      <c r="C208" t="s">
        <v>27</v>
      </c>
      <c r="D208">
        <v>94.95</v>
      </c>
      <c r="E208">
        <v>3</v>
      </c>
      <c r="F208" s="6">
        <v>4.82</v>
      </c>
      <c r="G208" s="4">
        <v>61.14</v>
      </c>
      <c r="H208" t="s">
        <v>686</v>
      </c>
      <c r="I208" t="s">
        <v>13</v>
      </c>
      <c r="J208" t="s">
        <v>687</v>
      </c>
    </row>
    <row r="209" spans="1:10" x14ac:dyDescent="0.35">
      <c r="A209" t="s">
        <v>688</v>
      </c>
      <c r="B209" t="s">
        <v>42</v>
      </c>
      <c r="C209" t="s">
        <v>11</v>
      </c>
      <c r="D209">
        <v>384.92</v>
      </c>
      <c r="E209">
        <v>3</v>
      </c>
      <c r="F209" s="6">
        <v>3.08</v>
      </c>
      <c r="G209" s="4">
        <v>51.77</v>
      </c>
      <c r="H209" t="s">
        <v>236</v>
      </c>
      <c r="I209" t="s">
        <v>480</v>
      </c>
      <c r="J209" t="s">
        <v>689</v>
      </c>
    </row>
    <row r="210" spans="1:10" x14ac:dyDescent="0.35">
      <c r="A210" t="s">
        <v>690</v>
      </c>
      <c r="B210" t="s">
        <v>42</v>
      </c>
      <c r="C210" t="s">
        <v>22</v>
      </c>
      <c r="D210">
        <v>133.74</v>
      </c>
      <c r="E210">
        <v>3</v>
      </c>
      <c r="F210" s="6">
        <v>7.37</v>
      </c>
      <c r="G210" s="4">
        <v>31.94</v>
      </c>
      <c r="H210" t="s">
        <v>244</v>
      </c>
      <c r="I210" t="s">
        <v>245</v>
      </c>
      <c r="J210" t="s">
        <v>691</v>
      </c>
    </row>
    <row r="211" spans="1:10" x14ac:dyDescent="0.35">
      <c r="A211" t="s">
        <v>692</v>
      </c>
      <c r="B211" t="s">
        <v>42</v>
      </c>
      <c r="C211" t="s">
        <v>17</v>
      </c>
      <c r="D211">
        <v>359.75</v>
      </c>
      <c r="E211">
        <v>3</v>
      </c>
      <c r="F211" s="6">
        <v>28.79</v>
      </c>
      <c r="G211" s="4">
        <v>89.63</v>
      </c>
      <c r="H211" t="s">
        <v>693</v>
      </c>
      <c r="I211" t="s">
        <v>651</v>
      </c>
      <c r="J211" t="s">
        <v>694</v>
      </c>
    </row>
    <row r="212" spans="1:10" x14ac:dyDescent="0.35">
      <c r="A212" t="s">
        <v>695</v>
      </c>
      <c r="B212" t="s">
        <v>42</v>
      </c>
      <c r="C212" t="s">
        <v>47</v>
      </c>
      <c r="D212">
        <v>439.83</v>
      </c>
      <c r="E212">
        <v>4</v>
      </c>
      <c r="F212" s="6">
        <v>35.68</v>
      </c>
      <c r="G212" s="4">
        <v>49.94</v>
      </c>
      <c r="H212" t="s">
        <v>284</v>
      </c>
      <c r="I212" t="s">
        <v>696</v>
      </c>
      <c r="J212" t="s">
        <v>697</v>
      </c>
    </row>
    <row r="213" spans="1:10" x14ac:dyDescent="0.35">
      <c r="A213" t="s">
        <v>698</v>
      </c>
      <c r="B213" t="s">
        <v>10</v>
      </c>
      <c r="C213" t="s">
        <v>56</v>
      </c>
      <c r="D213">
        <v>183.18</v>
      </c>
      <c r="E213">
        <v>3</v>
      </c>
      <c r="F213" s="6">
        <v>30.43</v>
      </c>
      <c r="G213" s="4">
        <v>49.97</v>
      </c>
      <c r="H213" t="s">
        <v>43</v>
      </c>
      <c r="I213" t="s">
        <v>699</v>
      </c>
      <c r="J213" t="s">
        <v>700</v>
      </c>
    </row>
    <row r="214" spans="1:10" x14ac:dyDescent="0.35">
      <c r="A214" t="s">
        <v>701</v>
      </c>
      <c r="B214" t="s">
        <v>16</v>
      </c>
      <c r="C214" t="s">
        <v>37</v>
      </c>
      <c r="D214">
        <v>489.86</v>
      </c>
      <c r="E214">
        <v>5</v>
      </c>
      <c r="F214" s="6">
        <v>38.83</v>
      </c>
      <c r="G214" s="4">
        <v>69.7</v>
      </c>
      <c r="H214" t="s">
        <v>140</v>
      </c>
      <c r="I214" t="s">
        <v>610</v>
      </c>
      <c r="J214" t="s">
        <v>702</v>
      </c>
    </row>
    <row r="215" spans="1:10" x14ac:dyDescent="0.35">
      <c r="A215" t="s">
        <v>703</v>
      </c>
      <c r="B215" t="s">
        <v>16</v>
      </c>
      <c r="C215" t="s">
        <v>22</v>
      </c>
      <c r="D215">
        <v>286.20999999999998</v>
      </c>
      <c r="E215">
        <v>5</v>
      </c>
      <c r="F215" s="6">
        <v>46.98</v>
      </c>
      <c r="G215" s="4">
        <v>97.2</v>
      </c>
      <c r="H215" t="s">
        <v>405</v>
      </c>
      <c r="I215" t="s">
        <v>71</v>
      </c>
      <c r="J215" t="s">
        <v>704</v>
      </c>
    </row>
    <row r="216" spans="1:10" x14ac:dyDescent="0.35">
      <c r="A216" t="s">
        <v>705</v>
      </c>
      <c r="B216" t="s">
        <v>10</v>
      </c>
      <c r="C216" t="s">
        <v>56</v>
      </c>
      <c r="D216">
        <v>319.58999999999997</v>
      </c>
      <c r="E216">
        <v>3</v>
      </c>
      <c r="F216" s="6">
        <v>31.75</v>
      </c>
      <c r="G216" s="4">
        <v>92.04</v>
      </c>
      <c r="H216" t="s">
        <v>196</v>
      </c>
      <c r="I216" t="s">
        <v>150</v>
      </c>
      <c r="J216" t="s">
        <v>706</v>
      </c>
    </row>
    <row r="217" spans="1:10" x14ac:dyDescent="0.35">
      <c r="A217" t="s">
        <v>707</v>
      </c>
      <c r="B217" t="s">
        <v>42</v>
      </c>
      <c r="C217" t="s">
        <v>32</v>
      </c>
      <c r="D217">
        <v>471.11</v>
      </c>
      <c r="E217">
        <v>5</v>
      </c>
      <c r="F217" s="6">
        <v>25.16</v>
      </c>
      <c r="G217" s="4">
        <v>85.4</v>
      </c>
      <c r="H217" t="s">
        <v>416</v>
      </c>
      <c r="I217" t="s">
        <v>708</v>
      </c>
      <c r="J217" t="s">
        <v>709</v>
      </c>
    </row>
    <row r="218" spans="1:10" x14ac:dyDescent="0.35">
      <c r="A218" t="s">
        <v>710</v>
      </c>
      <c r="B218" t="s">
        <v>42</v>
      </c>
      <c r="C218" t="s">
        <v>89</v>
      </c>
      <c r="D218">
        <v>467.71</v>
      </c>
      <c r="E218">
        <v>5</v>
      </c>
      <c r="F218" s="6">
        <v>28.57</v>
      </c>
      <c r="G218" s="4">
        <v>56.7</v>
      </c>
      <c r="H218" t="s">
        <v>507</v>
      </c>
      <c r="I218" t="s">
        <v>396</v>
      </c>
      <c r="J218" t="s">
        <v>711</v>
      </c>
    </row>
    <row r="219" spans="1:10" x14ac:dyDescent="0.35">
      <c r="A219" t="s">
        <v>712</v>
      </c>
      <c r="B219" t="s">
        <v>42</v>
      </c>
      <c r="C219" t="s">
        <v>22</v>
      </c>
      <c r="D219">
        <v>327.27</v>
      </c>
      <c r="E219">
        <v>4</v>
      </c>
      <c r="F219" s="6">
        <v>7.73</v>
      </c>
      <c r="G219" s="4">
        <v>22.31</v>
      </c>
      <c r="H219" t="s">
        <v>713</v>
      </c>
      <c r="I219" t="s">
        <v>714</v>
      </c>
      <c r="J219" t="s">
        <v>715</v>
      </c>
    </row>
    <row r="220" spans="1:10" x14ac:dyDescent="0.35">
      <c r="A220" t="s">
        <v>716</v>
      </c>
      <c r="B220" t="s">
        <v>42</v>
      </c>
      <c r="C220" t="s">
        <v>37</v>
      </c>
      <c r="D220">
        <v>145</v>
      </c>
      <c r="E220">
        <v>5</v>
      </c>
      <c r="F220" s="6">
        <v>31.11</v>
      </c>
      <c r="G220" s="4">
        <v>42.88</v>
      </c>
      <c r="H220" t="s">
        <v>717</v>
      </c>
      <c r="I220" t="s">
        <v>106</v>
      </c>
      <c r="J220" t="s">
        <v>718</v>
      </c>
    </row>
    <row r="221" spans="1:10" x14ac:dyDescent="0.35">
      <c r="A221" t="s">
        <v>719</v>
      </c>
      <c r="B221" t="s">
        <v>10</v>
      </c>
      <c r="C221" t="s">
        <v>17</v>
      </c>
      <c r="D221">
        <v>198.12</v>
      </c>
      <c r="E221">
        <v>4</v>
      </c>
      <c r="F221" s="6">
        <v>45.84</v>
      </c>
      <c r="G221" s="4">
        <v>58.63</v>
      </c>
      <c r="H221" t="s">
        <v>450</v>
      </c>
      <c r="I221" t="s">
        <v>66</v>
      </c>
      <c r="J221" t="s">
        <v>720</v>
      </c>
    </row>
    <row r="222" spans="1:10" x14ac:dyDescent="0.35">
      <c r="A222" t="s">
        <v>721</v>
      </c>
      <c r="B222" t="s">
        <v>10</v>
      </c>
      <c r="C222" t="s">
        <v>61</v>
      </c>
      <c r="D222">
        <v>254.95</v>
      </c>
      <c r="E222">
        <v>3</v>
      </c>
      <c r="F222" s="6">
        <v>39.44</v>
      </c>
      <c r="G222" s="4">
        <v>35.65</v>
      </c>
      <c r="H222" t="s">
        <v>28</v>
      </c>
      <c r="I222" t="s">
        <v>590</v>
      </c>
      <c r="J222" t="s">
        <v>722</v>
      </c>
    </row>
    <row r="223" spans="1:10" x14ac:dyDescent="0.35">
      <c r="A223" t="s">
        <v>723</v>
      </c>
      <c r="B223" t="s">
        <v>10</v>
      </c>
      <c r="C223" t="s">
        <v>22</v>
      </c>
      <c r="D223">
        <v>420.31</v>
      </c>
      <c r="E223">
        <v>4</v>
      </c>
      <c r="F223" s="6">
        <v>33.56</v>
      </c>
      <c r="G223" s="4">
        <v>58.08</v>
      </c>
      <c r="H223" t="s">
        <v>724</v>
      </c>
      <c r="I223" t="s">
        <v>661</v>
      </c>
      <c r="J223" t="s">
        <v>725</v>
      </c>
    </row>
    <row r="224" spans="1:10" x14ac:dyDescent="0.35">
      <c r="A224" t="s">
        <v>726</v>
      </c>
      <c r="B224" t="s">
        <v>16</v>
      </c>
      <c r="C224" t="s">
        <v>56</v>
      </c>
      <c r="D224">
        <v>472.79</v>
      </c>
      <c r="E224">
        <v>3</v>
      </c>
      <c r="F224" s="6">
        <v>5.56</v>
      </c>
      <c r="G224" s="4">
        <v>57.9</v>
      </c>
      <c r="H224" t="s">
        <v>727</v>
      </c>
      <c r="I224" t="s">
        <v>546</v>
      </c>
      <c r="J224" t="s">
        <v>728</v>
      </c>
    </row>
    <row r="225" spans="1:10" x14ac:dyDescent="0.35">
      <c r="A225" t="s">
        <v>729</v>
      </c>
      <c r="B225" t="s">
        <v>10</v>
      </c>
      <c r="C225" t="s">
        <v>17</v>
      </c>
      <c r="D225">
        <v>429.32</v>
      </c>
      <c r="E225">
        <v>5</v>
      </c>
      <c r="F225" s="6">
        <v>10.15</v>
      </c>
      <c r="G225" s="4">
        <v>28.06</v>
      </c>
      <c r="H225" t="s">
        <v>453</v>
      </c>
      <c r="I225" t="s">
        <v>730</v>
      </c>
      <c r="J225" t="s">
        <v>731</v>
      </c>
    </row>
    <row r="226" spans="1:10" x14ac:dyDescent="0.35">
      <c r="A226" t="s">
        <v>732</v>
      </c>
      <c r="B226" t="s">
        <v>10</v>
      </c>
      <c r="C226" t="s">
        <v>89</v>
      </c>
      <c r="D226">
        <v>497.87</v>
      </c>
      <c r="E226">
        <v>4</v>
      </c>
      <c r="F226" s="6">
        <v>7.79</v>
      </c>
      <c r="G226" s="4">
        <v>54.83</v>
      </c>
      <c r="H226" t="s">
        <v>733</v>
      </c>
      <c r="I226" t="s">
        <v>158</v>
      </c>
      <c r="J226" t="s">
        <v>734</v>
      </c>
    </row>
    <row r="227" spans="1:10" x14ac:dyDescent="0.35">
      <c r="A227" t="s">
        <v>735</v>
      </c>
      <c r="B227" t="s">
        <v>10</v>
      </c>
      <c r="C227" t="s">
        <v>56</v>
      </c>
      <c r="D227">
        <v>479.05</v>
      </c>
      <c r="E227">
        <v>4</v>
      </c>
      <c r="F227" s="6">
        <v>28.32</v>
      </c>
      <c r="G227" s="4">
        <v>27.86</v>
      </c>
      <c r="H227" t="s">
        <v>581</v>
      </c>
      <c r="I227" t="s">
        <v>736</v>
      </c>
      <c r="J227" t="s">
        <v>737</v>
      </c>
    </row>
    <row r="228" spans="1:10" x14ac:dyDescent="0.35">
      <c r="A228" t="s">
        <v>738</v>
      </c>
      <c r="B228" t="s">
        <v>10</v>
      </c>
      <c r="C228" t="s">
        <v>22</v>
      </c>
      <c r="D228">
        <v>300.5</v>
      </c>
      <c r="E228">
        <v>4</v>
      </c>
      <c r="F228" s="6">
        <v>30.68</v>
      </c>
      <c r="G228" s="4">
        <v>89.5</v>
      </c>
      <c r="H228" t="s">
        <v>29</v>
      </c>
      <c r="I228" t="s">
        <v>739</v>
      </c>
      <c r="J228" t="s">
        <v>740</v>
      </c>
    </row>
    <row r="229" spans="1:10" x14ac:dyDescent="0.35">
      <c r="A229" t="s">
        <v>741</v>
      </c>
      <c r="B229" t="s">
        <v>10</v>
      </c>
      <c r="C229" t="s">
        <v>56</v>
      </c>
      <c r="D229">
        <v>235.01</v>
      </c>
      <c r="E229">
        <v>5</v>
      </c>
      <c r="F229" s="6">
        <v>29.15</v>
      </c>
      <c r="G229" s="4">
        <v>55.58</v>
      </c>
      <c r="H229" t="s">
        <v>742</v>
      </c>
      <c r="I229" t="s">
        <v>555</v>
      </c>
      <c r="J229" t="s">
        <v>743</v>
      </c>
    </row>
    <row r="230" spans="1:10" x14ac:dyDescent="0.35">
      <c r="A230" t="s">
        <v>744</v>
      </c>
      <c r="B230" t="s">
        <v>10</v>
      </c>
      <c r="C230" t="s">
        <v>32</v>
      </c>
      <c r="D230">
        <v>104.84</v>
      </c>
      <c r="E230">
        <v>4</v>
      </c>
      <c r="F230" s="6">
        <v>32.65</v>
      </c>
      <c r="G230" s="4">
        <v>71.66</v>
      </c>
      <c r="H230" t="s">
        <v>745</v>
      </c>
      <c r="I230" t="s">
        <v>549</v>
      </c>
      <c r="J230" t="s">
        <v>746</v>
      </c>
    </row>
    <row r="231" spans="1:10" x14ac:dyDescent="0.35">
      <c r="A231" t="s">
        <v>747</v>
      </c>
      <c r="B231" t="s">
        <v>42</v>
      </c>
      <c r="C231" t="s">
        <v>61</v>
      </c>
      <c r="D231">
        <v>402.89</v>
      </c>
      <c r="E231">
        <v>5</v>
      </c>
      <c r="F231" s="6">
        <v>31.88</v>
      </c>
      <c r="G231" s="4">
        <v>40.950000000000003</v>
      </c>
      <c r="H231" t="s">
        <v>114</v>
      </c>
      <c r="I231" t="s">
        <v>300</v>
      </c>
      <c r="J231" t="s">
        <v>748</v>
      </c>
    </row>
    <row r="232" spans="1:10" x14ac:dyDescent="0.35">
      <c r="A232" t="s">
        <v>749</v>
      </c>
      <c r="B232" t="s">
        <v>16</v>
      </c>
      <c r="C232" t="s">
        <v>89</v>
      </c>
      <c r="D232">
        <v>358.88</v>
      </c>
      <c r="E232">
        <v>5</v>
      </c>
      <c r="F232" s="6">
        <v>20.32</v>
      </c>
      <c r="G232" s="4">
        <v>41.76</v>
      </c>
      <c r="H232" t="s">
        <v>300</v>
      </c>
      <c r="I232" t="s">
        <v>750</v>
      </c>
      <c r="J232" t="s">
        <v>751</v>
      </c>
    </row>
    <row r="233" spans="1:10" x14ac:dyDescent="0.35">
      <c r="A233" t="s">
        <v>752</v>
      </c>
      <c r="B233" t="s">
        <v>10</v>
      </c>
      <c r="C233" t="s">
        <v>61</v>
      </c>
      <c r="D233">
        <v>474.63</v>
      </c>
      <c r="E233">
        <v>3</v>
      </c>
      <c r="F233" s="6">
        <v>1.1100000000000001</v>
      </c>
      <c r="G233" s="4">
        <v>11.21</v>
      </c>
      <c r="H233" t="s">
        <v>13</v>
      </c>
      <c r="I233" t="s">
        <v>391</v>
      </c>
      <c r="J233" t="s">
        <v>753</v>
      </c>
    </row>
    <row r="234" spans="1:10" x14ac:dyDescent="0.35">
      <c r="A234" t="s">
        <v>754</v>
      </c>
      <c r="B234" t="s">
        <v>16</v>
      </c>
      <c r="C234" t="s">
        <v>61</v>
      </c>
      <c r="D234">
        <v>298.8</v>
      </c>
      <c r="E234">
        <v>5</v>
      </c>
      <c r="F234" s="6">
        <v>32.340000000000003</v>
      </c>
      <c r="G234" s="4">
        <v>98.51</v>
      </c>
      <c r="H234" t="s">
        <v>52</v>
      </c>
      <c r="I234" t="s">
        <v>351</v>
      </c>
      <c r="J234" t="s">
        <v>755</v>
      </c>
    </row>
    <row r="235" spans="1:10" x14ac:dyDescent="0.35">
      <c r="A235" t="s">
        <v>756</v>
      </c>
      <c r="B235" t="s">
        <v>10</v>
      </c>
      <c r="C235" t="s">
        <v>27</v>
      </c>
      <c r="D235">
        <v>400.89</v>
      </c>
      <c r="E235">
        <v>3</v>
      </c>
      <c r="F235" s="6">
        <v>39.19</v>
      </c>
      <c r="G235" s="4">
        <v>65.73</v>
      </c>
      <c r="H235" t="s">
        <v>757</v>
      </c>
      <c r="I235" t="s">
        <v>758</v>
      </c>
      <c r="J235" t="s">
        <v>759</v>
      </c>
    </row>
    <row r="236" spans="1:10" x14ac:dyDescent="0.35">
      <c r="A236" t="s">
        <v>760</v>
      </c>
      <c r="B236" t="s">
        <v>10</v>
      </c>
      <c r="C236" t="s">
        <v>22</v>
      </c>
      <c r="D236">
        <v>192.2</v>
      </c>
      <c r="E236">
        <v>4</v>
      </c>
      <c r="F236" s="6">
        <v>28.06</v>
      </c>
      <c r="G236" s="4">
        <v>30.03</v>
      </c>
      <c r="H236" t="s">
        <v>761</v>
      </c>
      <c r="I236" t="s">
        <v>762</v>
      </c>
      <c r="J236" t="s">
        <v>763</v>
      </c>
    </row>
    <row r="237" spans="1:10" x14ac:dyDescent="0.35">
      <c r="A237" t="s">
        <v>764</v>
      </c>
      <c r="B237" t="s">
        <v>10</v>
      </c>
      <c r="C237" t="s">
        <v>32</v>
      </c>
      <c r="D237">
        <v>141.09</v>
      </c>
      <c r="E237">
        <v>5</v>
      </c>
      <c r="F237" s="6">
        <v>16.63</v>
      </c>
      <c r="G237" s="4">
        <v>85.13</v>
      </c>
      <c r="H237" t="s">
        <v>765</v>
      </c>
      <c r="I237" t="s">
        <v>78</v>
      </c>
      <c r="J237" t="s">
        <v>766</v>
      </c>
    </row>
    <row r="238" spans="1:10" x14ac:dyDescent="0.35">
      <c r="A238" t="s">
        <v>767</v>
      </c>
      <c r="B238" t="s">
        <v>16</v>
      </c>
      <c r="C238" t="s">
        <v>22</v>
      </c>
      <c r="D238">
        <v>459.16</v>
      </c>
      <c r="E238">
        <v>3</v>
      </c>
      <c r="F238" s="6">
        <v>24.43</v>
      </c>
      <c r="G238" s="4">
        <v>23.27</v>
      </c>
      <c r="H238" t="s">
        <v>768</v>
      </c>
      <c r="I238" t="s">
        <v>171</v>
      </c>
      <c r="J238" t="s">
        <v>769</v>
      </c>
    </row>
    <row r="239" spans="1:10" x14ac:dyDescent="0.35">
      <c r="A239" t="s">
        <v>770</v>
      </c>
      <c r="B239" t="s">
        <v>16</v>
      </c>
      <c r="C239" t="s">
        <v>11</v>
      </c>
      <c r="D239">
        <v>389.96</v>
      </c>
      <c r="E239">
        <v>4</v>
      </c>
      <c r="F239" s="6">
        <v>32.93</v>
      </c>
      <c r="G239" s="4">
        <v>14.11</v>
      </c>
      <c r="H239" t="s">
        <v>305</v>
      </c>
      <c r="I239" t="s">
        <v>78</v>
      </c>
      <c r="J239" t="s">
        <v>771</v>
      </c>
    </row>
    <row r="240" spans="1:10" x14ac:dyDescent="0.35">
      <c r="A240" t="s">
        <v>772</v>
      </c>
      <c r="B240" t="s">
        <v>10</v>
      </c>
      <c r="C240" t="s">
        <v>22</v>
      </c>
      <c r="D240">
        <v>260.47000000000003</v>
      </c>
      <c r="E240">
        <v>4</v>
      </c>
      <c r="F240" s="6">
        <v>6.18</v>
      </c>
      <c r="G240" s="4">
        <v>63.58</v>
      </c>
      <c r="H240" t="s">
        <v>179</v>
      </c>
      <c r="I240" t="s">
        <v>135</v>
      </c>
      <c r="J240" t="s">
        <v>773</v>
      </c>
    </row>
    <row r="241" spans="1:10" x14ac:dyDescent="0.35">
      <c r="A241" t="s">
        <v>774</v>
      </c>
      <c r="B241" t="s">
        <v>10</v>
      </c>
      <c r="C241" t="s">
        <v>17</v>
      </c>
      <c r="D241">
        <v>474.91</v>
      </c>
      <c r="E241">
        <v>4</v>
      </c>
      <c r="F241" s="6">
        <v>49.66</v>
      </c>
      <c r="G241" s="4">
        <v>50.98</v>
      </c>
      <c r="H241" t="s">
        <v>651</v>
      </c>
      <c r="I241" t="s">
        <v>775</v>
      </c>
      <c r="J241" t="s">
        <v>776</v>
      </c>
    </row>
    <row r="242" spans="1:10" x14ac:dyDescent="0.35">
      <c r="A242" t="s">
        <v>777</v>
      </c>
      <c r="B242" t="s">
        <v>42</v>
      </c>
      <c r="C242" t="s">
        <v>89</v>
      </c>
      <c r="D242">
        <v>300.27</v>
      </c>
      <c r="E242">
        <v>3</v>
      </c>
      <c r="F242" s="6">
        <v>1.89</v>
      </c>
      <c r="G242" s="4">
        <v>27.39</v>
      </c>
      <c r="H242" t="s">
        <v>736</v>
      </c>
      <c r="I242" t="s">
        <v>118</v>
      </c>
      <c r="J242" t="s">
        <v>778</v>
      </c>
    </row>
    <row r="243" spans="1:10" x14ac:dyDescent="0.35">
      <c r="A243" t="s">
        <v>779</v>
      </c>
      <c r="B243" t="s">
        <v>10</v>
      </c>
      <c r="C243" t="s">
        <v>32</v>
      </c>
      <c r="D243">
        <v>459.22</v>
      </c>
      <c r="E243">
        <v>4</v>
      </c>
      <c r="F243" s="6">
        <v>26.61</v>
      </c>
      <c r="G243" s="4">
        <v>50.9</v>
      </c>
      <c r="H243" t="s">
        <v>780</v>
      </c>
      <c r="I243" t="s">
        <v>781</v>
      </c>
      <c r="J243" t="s">
        <v>782</v>
      </c>
    </row>
    <row r="244" spans="1:10" x14ac:dyDescent="0.35">
      <c r="A244" t="s">
        <v>783</v>
      </c>
      <c r="B244" t="s">
        <v>42</v>
      </c>
      <c r="C244" t="s">
        <v>17</v>
      </c>
      <c r="D244">
        <v>145.38</v>
      </c>
      <c r="E244">
        <v>3</v>
      </c>
      <c r="F244" s="6">
        <v>21.24</v>
      </c>
      <c r="G244" s="4">
        <v>37.82</v>
      </c>
      <c r="H244" t="s">
        <v>784</v>
      </c>
      <c r="I244" t="s">
        <v>266</v>
      </c>
      <c r="J244" t="s">
        <v>785</v>
      </c>
    </row>
    <row r="245" spans="1:10" x14ac:dyDescent="0.35">
      <c r="A245" t="s">
        <v>786</v>
      </c>
      <c r="B245" t="s">
        <v>10</v>
      </c>
      <c r="C245" t="s">
        <v>56</v>
      </c>
      <c r="D245">
        <v>266.76</v>
      </c>
      <c r="E245">
        <v>4</v>
      </c>
      <c r="F245" s="6">
        <v>41.18</v>
      </c>
      <c r="G245" s="4">
        <v>95.65</v>
      </c>
      <c r="H245" t="s">
        <v>787</v>
      </c>
      <c r="I245" t="s">
        <v>593</v>
      </c>
      <c r="J245" t="s">
        <v>788</v>
      </c>
    </row>
    <row r="246" spans="1:10" x14ac:dyDescent="0.35">
      <c r="A246" t="s">
        <v>789</v>
      </c>
      <c r="B246" t="s">
        <v>42</v>
      </c>
      <c r="C246" t="s">
        <v>61</v>
      </c>
      <c r="D246">
        <v>266.39999999999998</v>
      </c>
      <c r="E246">
        <v>3</v>
      </c>
      <c r="F246" s="6">
        <v>28.08</v>
      </c>
      <c r="G246" s="4">
        <v>73.19</v>
      </c>
      <c r="H246" t="s">
        <v>661</v>
      </c>
      <c r="I246" t="s">
        <v>429</v>
      </c>
      <c r="J246" t="s">
        <v>790</v>
      </c>
    </row>
    <row r="247" spans="1:10" x14ac:dyDescent="0.35">
      <c r="A247" t="s">
        <v>791</v>
      </c>
      <c r="B247" t="s">
        <v>10</v>
      </c>
      <c r="C247" t="s">
        <v>22</v>
      </c>
      <c r="D247">
        <v>162.65</v>
      </c>
      <c r="E247">
        <v>3</v>
      </c>
      <c r="F247" s="6">
        <v>4.74</v>
      </c>
      <c r="G247" s="4">
        <v>79.010000000000005</v>
      </c>
      <c r="H247" t="s">
        <v>792</v>
      </c>
      <c r="I247" t="s">
        <v>300</v>
      </c>
      <c r="J247" t="s">
        <v>793</v>
      </c>
    </row>
    <row r="248" spans="1:10" x14ac:dyDescent="0.35">
      <c r="A248" t="s">
        <v>794</v>
      </c>
      <c r="B248" t="s">
        <v>16</v>
      </c>
      <c r="C248" t="s">
        <v>11</v>
      </c>
      <c r="D248">
        <v>265.27999999999997</v>
      </c>
      <c r="E248">
        <v>3</v>
      </c>
      <c r="F248" s="6">
        <v>11.5</v>
      </c>
      <c r="G248" s="4">
        <v>21.74</v>
      </c>
      <c r="H248" t="s">
        <v>714</v>
      </c>
      <c r="I248" t="s">
        <v>500</v>
      </c>
      <c r="J248" t="s">
        <v>795</v>
      </c>
    </row>
    <row r="249" spans="1:10" x14ac:dyDescent="0.35">
      <c r="A249" t="s">
        <v>796</v>
      </c>
      <c r="B249" t="s">
        <v>16</v>
      </c>
      <c r="C249" t="s">
        <v>37</v>
      </c>
      <c r="D249">
        <v>78.099999999999994</v>
      </c>
      <c r="E249">
        <v>3</v>
      </c>
      <c r="F249" s="6">
        <v>0.2</v>
      </c>
      <c r="G249" s="4">
        <v>40.35</v>
      </c>
      <c r="H249" t="s">
        <v>762</v>
      </c>
      <c r="I249" t="s">
        <v>797</v>
      </c>
      <c r="J249" t="s">
        <v>798</v>
      </c>
    </row>
    <row r="250" spans="1:10" x14ac:dyDescent="0.35">
      <c r="A250" t="s">
        <v>799</v>
      </c>
      <c r="B250" t="s">
        <v>10</v>
      </c>
      <c r="C250" t="s">
        <v>32</v>
      </c>
      <c r="D250">
        <v>91.18</v>
      </c>
      <c r="E250">
        <v>4</v>
      </c>
      <c r="F250" s="6">
        <v>37.159999999999997</v>
      </c>
      <c r="G250" s="4">
        <v>32.68</v>
      </c>
      <c r="H250" t="s">
        <v>800</v>
      </c>
      <c r="I250" t="s">
        <v>484</v>
      </c>
      <c r="J250" t="s">
        <v>801</v>
      </c>
    </row>
    <row r="251" spans="1:10" x14ac:dyDescent="0.35">
      <c r="A251" t="s">
        <v>802</v>
      </c>
      <c r="B251" t="s">
        <v>10</v>
      </c>
      <c r="C251" t="s">
        <v>61</v>
      </c>
      <c r="D251">
        <v>154.01</v>
      </c>
      <c r="E251">
        <v>5</v>
      </c>
      <c r="F251" s="6">
        <v>2.5299999999999998</v>
      </c>
      <c r="G251" s="4">
        <v>98.19</v>
      </c>
      <c r="H251" t="s">
        <v>803</v>
      </c>
      <c r="I251" t="s">
        <v>804</v>
      </c>
      <c r="J251" t="s">
        <v>805</v>
      </c>
    </row>
    <row r="252" spans="1:10" x14ac:dyDescent="0.35">
      <c r="A252" t="s">
        <v>806</v>
      </c>
      <c r="B252" t="s">
        <v>42</v>
      </c>
      <c r="C252" t="s">
        <v>11</v>
      </c>
      <c r="D252">
        <v>413.52</v>
      </c>
      <c r="E252">
        <v>5</v>
      </c>
      <c r="F252" s="6">
        <v>26.2</v>
      </c>
      <c r="G252" s="4">
        <v>58.03</v>
      </c>
      <c r="H252" t="s">
        <v>405</v>
      </c>
      <c r="I252" t="s">
        <v>236</v>
      </c>
      <c r="J252" t="s">
        <v>807</v>
      </c>
    </row>
    <row r="253" spans="1:10" x14ac:dyDescent="0.35">
      <c r="A253" t="s">
        <v>808</v>
      </c>
      <c r="B253" t="s">
        <v>42</v>
      </c>
      <c r="C253" t="s">
        <v>27</v>
      </c>
      <c r="D253">
        <v>322.85000000000002</v>
      </c>
      <c r="E253">
        <v>3</v>
      </c>
      <c r="F253" s="6">
        <v>12.55</v>
      </c>
      <c r="G253" s="4">
        <v>13.76</v>
      </c>
      <c r="H253" t="s">
        <v>809</v>
      </c>
      <c r="I253" t="s">
        <v>463</v>
      </c>
      <c r="J253" t="s">
        <v>810</v>
      </c>
    </row>
    <row r="254" spans="1:10" x14ac:dyDescent="0.35">
      <c r="A254" t="s">
        <v>811</v>
      </c>
      <c r="B254" t="s">
        <v>42</v>
      </c>
      <c r="C254" t="s">
        <v>89</v>
      </c>
      <c r="D254">
        <v>112.24</v>
      </c>
      <c r="E254">
        <v>3</v>
      </c>
      <c r="F254" s="6">
        <v>45.73</v>
      </c>
      <c r="G254" s="4">
        <v>19.89</v>
      </c>
      <c r="H254" t="s">
        <v>209</v>
      </c>
      <c r="I254" t="s">
        <v>812</v>
      </c>
      <c r="J254" t="s">
        <v>813</v>
      </c>
    </row>
    <row r="255" spans="1:10" x14ac:dyDescent="0.35">
      <c r="A255" t="s">
        <v>814</v>
      </c>
      <c r="B255" t="s">
        <v>16</v>
      </c>
      <c r="C255" t="s">
        <v>32</v>
      </c>
      <c r="D255">
        <v>98.34</v>
      </c>
      <c r="E255">
        <v>5</v>
      </c>
      <c r="F255" s="6">
        <v>37.4</v>
      </c>
      <c r="G255" s="4">
        <v>49.41</v>
      </c>
      <c r="H255" t="s">
        <v>450</v>
      </c>
      <c r="I255" t="s">
        <v>67</v>
      </c>
      <c r="J255" t="s">
        <v>815</v>
      </c>
    </row>
    <row r="256" spans="1:10" x14ac:dyDescent="0.35">
      <c r="A256" t="s">
        <v>816</v>
      </c>
      <c r="B256" t="s">
        <v>42</v>
      </c>
      <c r="C256" t="s">
        <v>22</v>
      </c>
      <c r="D256">
        <v>491.54</v>
      </c>
      <c r="E256">
        <v>5</v>
      </c>
      <c r="F256" s="6">
        <v>19.3</v>
      </c>
      <c r="G256" s="4">
        <v>42.64</v>
      </c>
      <c r="H256" t="s">
        <v>179</v>
      </c>
      <c r="I256" t="s">
        <v>277</v>
      </c>
      <c r="J256" t="s">
        <v>817</v>
      </c>
    </row>
    <row r="257" spans="1:10" x14ac:dyDescent="0.35">
      <c r="A257" t="s">
        <v>818</v>
      </c>
      <c r="B257" t="s">
        <v>16</v>
      </c>
      <c r="C257" t="s">
        <v>56</v>
      </c>
      <c r="D257">
        <v>346.36</v>
      </c>
      <c r="E257">
        <v>4</v>
      </c>
      <c r="F257" s="6">
        <v>36.4</v>
      </c>
      <c r="G257" s="4">
        <v>23.82</v>
      </c>
      <c r="H257" t="s">
        <v>383</v>
      </c>
      <c r="I257" t="s">
        <v>566</v>
      </c>
      <c r="J257" t="s">
        <v>819</v>
      </c>
    </row>
    <row r="258" spans="1:10" x14ac:dyDescent="0.35">
      <c r="A258" t="s">
        <v>820</v>
      </c>
      <c r="B258" t="s">
        <v>42</v>
      </c>
      <c r="C258" t="s">
        <v>47</v>
      </c>
      <c r="D258">
        <v>351.42</v>
      </c>
      <c r="E258">
        <v>5</v>
      </c>
      <c r="F258" s="6">
        <v>48.58</v>
      </c>
      <c r="G258" s="4">
        <v>17.52</v>
      </c>
      <c r="H258" t="s">
        <v>305</v>
      </c>
      <c r="I258" t="s">
        <v>821</v>
      </c>
      <c r="J258" t="s">
        <v>822</v>
      </c>
    </row>
    <row r="259" spans="1:10" x14ac:dyDescent="0.35">
      <c r="A259" t="s">
        <v>823</v>
      </c>
      <c r="B259" t="s">
        <v>16</v>
      </c>
      <c r="C259" t="s">
        <v>61</v>
      </c>
      <c r="D259">
        <v>227.86</v>
      </c>
      <c r="E259">
        <v>4</v>
      </c>
      <c r="F259" s="6">
        <v>5.73</v>
      </c>
      <c r="G259" s="4">
        <v>99.51</v>
      </c>
      <c r="H259" t="s">
        <v>463</v>
      </c>
      <c r="I259" t="s">
        <v>52</v>
      </c>
      <c r="J259" t="s">
        <v>824</v>
      </c>
    </row>
    <row r="260" spans="1:10" x14ac:dyDescent="0.35">
      <c r="A260" t="s">
        <v>825</v>
      </c>
      <c r="B260" t="s">
        <v>16</v>
      </c>
      <c r="C260" t="s">
        <v>47</v>
      </c>
      <c r="D260">
        <v>366.65</v>
      </c>
      <c r="E260">
        <v>4</v>
      </c>
      <c r="F260" s="6">
        <v>16.829999999999998</v>
      </c>
      <c r="G260" s="4">
        <v>52.69</v>
      </c>
      <c r="H260" t="s">
        <v>522</v>
      </c>
      <c r="I260" t="s">
        <v>523</v>
      </c>
      <c r="J260" t="s">
        <v>826</v>
      </c>
    </row>
    <row r="261" spans="1:10" x14ac:dyDescent="0.35">
      <c r="A261" t="s">
        <v>827</v>
      </c>
      <c r="B261" t="s">
        <v>10</v>
      </c>
      <c r="C261" t="s">
        <v>32</v>
      </c>
      <c r="D261">
        <v>378.58</v>
      </c>
      <c r="E261">
        <v>4</v>
      </c>
      <c r="F261" s="6">
        <v>14.12</v>
      </c>
      <c r="G261" s="4">
        <v>42.73</v>
      </c>
      <c r="H261" t="s">
        <v>572</v>
      </c>
      <c r="I261" t="s">
        <v>429</v>
      </c>
      <c r="J261" t="s">
        <v>828</v>
      </c>
    </row>
    <row r="262" spans="1:10" x14ac:dyDescent="0.35">
      <c r="A262" t="s">
        <v>829</v>
      </c>
      <c r="B262" t="s">
        <v>42</v>
      </c>
      <c r="C262" t="s">
        <v>37</v>
      </c>
      <c r="D262">
        <v>485.69</v>
      </c>
      <c r="E262">
        <v>5</v>
      </c>
      <c r="F262" s="6">
        <v>7.82</v>
      </c>
      <c r="G262" s="4">
        <v>17.29</v>
      </c>
      <c r="H262" t="s">
        <v>453</v>
      </c>
      <c r="I262" t="s">
        <v>571</v>
      </c>
      <c r="J262" t="s">
        <v>830</v>
      </c>
    </row>
    <row r="263" spans="1:10" x14ac:dyDescent="0.35">
      <c r="A263" t="s">
        <v>831</v>
      </c>
      <c r="B263" t="s">
        <v>42</v>
      </c>
      <c r="C263" t="s">
        <v>37</v>
      </c>
      <c r="D263">
        <v>102.52</v>
      </c>
      <c r="E263">
        <v>5</v>
      </c>
      <c r="F263" s="6">
        <v>10.36</v>
      </c>
      <c r="G263" s="4">
        <v>47.99</v>
      </c>
      <c r="H263" t="s">
        <v>380</v>
      </c>
      <c r="I263" t="s">
        <v>24</v>
      </c>
      <c r="J263" t="s">
        <v>832</v>
      </c>
    </row>
    <row r="264" spans="1:10" x14ac:dyDescent="0.35">
      <c r="A264" t="s">
        <v>833</v>
      </c>
      <c r="B264" t="s">
        <v>10</v>
      </c>
      <c r="C264" t="s">
        <v>56</v>
      </c>
      <c r="D264">
        <v>392.79</v>
      </c>
      <c r="E264">
        <v>3</v>
      </c>
      <c r="F264" s="6">
        <v>11.33</v>
      </c>
      <c r="G264" s="4">
        <v>42</v>
      </c>
      <c r="H264" t="s">
        <v>834</v>
      </c>
      <c r="I264" t="s">
        <v>263</v>
      </c>
      <c r="J264" t="s">
        <v>835</v>
      </c>
    </row>
    <row r="265" spans="1:10" x14ac:dyDescent="0.35">
      <c r="A265" t="s">
        <v>836</v>
      </c>
      <c r="B265" t="s">
        <v>42</v>
      </c>
      <c r="C265" t="s">
        <v>89</v>
      </c>
      <c r="D265">
        <v>221.38</v>
      </c>
      <c r="E265">
        <v>3</v>
      </c>
      <c r="F265" s="6">
        <v>6.73</v>
      </c>
      <c r="G265" s="4">
        <v>62.66</v>
      </c>
      <c r="H265" t="s">
        <v>154</v>
      </c>
      <c r="I265" t="s">
        <v>742</v>
      </c>
      <c r="J265" t="s">
        <v>837</v>
      </c>
    </row>
    <row r="266" spans="1:10" x14ac:dyDescent="0.35">
      <c r="A266" t="s">
        <v>838</v>
      </c>
      <c r="B266" t="s">
        <v>16</v>
      </c>
      <c r="C266" t="s">
        <v>11</v>
      </c>
      <c r="D266">
        <v>87.4</v>
      </c>
      <c r="E266">
        <v>4</v>
      </c>
      <c r="F266" s="6">
        <v>11.18</v>
      </c>
      <c r="G266" s="4">
        <v>37.229999999999997</v>
      </c>
      <c r="H266" t="s">
        <v>487</v>
      </c>
      <c r="I266" t="s">
        <v>259</v>
      </c>
      <c r="J266" t="s">
        <v>839</v>
      </c>
    </row>
    <row r="267" spans="1:10" x14ac:dyDescent="0.35">
      <c r="A267" t="s">
        <v>840</v>
      </c>
      <c r="B267" t="s">
        <v>16</v>
      </c>
      <c r="C267" t="s">
        <v>27</v>
      </c>
      <c r="D267">
        <v>111.38</v>
      </c>
      <c r="E267">
        <v>5</v>
      </c>
      <c r="F267" s="6">
        <v>39.31</v>
      </c>
      <c r="G267" s="4">
        <v>89.86</v>
      </c>
      <c r="H267" t="s">
        <v>301</v>
      </c>
      <c r="I267" t="s">
        <v>581</v>
      </c>
      <c r="J267" t="s">
        <v>841</v>
      </c>
    </row>
    <row r="268" spans="1:10" x14ac:dyDescent="0.35">
      <c r="A268" t="s">
        <v>842</v>
      </c>
      <c r="B268" t="s">
        <v>16</v>
      </c>
      <c r="C268" t="s">
        <v>22</v>
      </c>
      <c r="D268">
        <v>378.72</v>
      </c>
      <c r="E268">
        <v>5</v>
      </c>
      <c r="F268" s="6">
        <v>16.920000000000002</v>
      </c>
      <c r="G268" s="4">
        <v>95.26</v>
      </c>
      <c r="H268" t="s">
        <v>109</v>
      </c>
      <c r="I268" t="s">
        <v>843</v>
      </c>
      <c r="J268" t="s">
        <v>844</v>
      </c>
    </row>
    <row r="269" spans="1:10" x14ac:dyDescent="0.35">
      <c r="A269" t="s">
        <v>845</v>
      </c>
      <c r="B269" t="s">
        <v>16</v>
      </c>
      <c r="C269" t="s">
        <v>61</v>
      </c>
      <c r="D269">
        <v>405.23</v>
      </c>
      <c r="E269">
        <v>3</v>
      </c>
      <c r="F269" s="6">
        <v>47.82</v>
      </c>
      <c r="G269" s="4">
        <v>42.77</v>
      </c>
      <c r="H269" t="s">
        <v>95</v>
      </c>
      <c r="I269" t="s">
        <v>462</v>
      </c>
      <c r="J269" t="s">
        <v>846</v>
      </c>
    </row>
    <row r="270" spans="1:10" x14ac:dyDescent="0.35">
      <c r="A270" t="s">
        <v>847</v>
      </c>
      <c r="B270" t="s">
        <v>42</v>
      </c>
      <c r="C270" t="s">
        <v>17</v>
      </c>
      <c r="D270">
        <v>54.39</v>
      </c>
      <c r="E270">
        <v>4</v>
      </c>
      <c r="F270" s="6">
        <v>28.99</v>
      </c>
      <c r="G270" s="4">
        <v>80.739999999999995</v>
      </c>
      <c r="H270" t="s">
        <v>848</v>
      </c>
      <c r="I270" t="s">
        <v>589</v>
      </c>
      <c r="J270" t="s">
        <v>849</v>
      </c>
    </row>
    <row r="271" spans="1:10" x14ac:dyDescent="0.35">
      <c r="A271" t="s">
        <v>850</v>
      </c>
      <c r="B271" t="s">
        <v>10</v>
      </c>
      <c r="C271" t="s">
        <v>47</v>
      </c>
      <c r="D271">
        <v>447.94</v>
      </c>
      <c r="E271">
        <v>3</v>
      </c>
      <c r="F271" s="6">
        <v>27.2</v>
      </c>
      <c r="G271" s="4">
        <v>47.64</v>
      </c>
      <c r="H271" t="s">
        <v>762</v>
      </c>
      <c r="I271" t="s">
        <v>851</v>
      </c>
      <c r="J271" t="s">
        <v>852</v>
      </c>
    </row>
    <row r="272" spans="1:10" x14ac:dyDescent="0.35">
      <c r="A272" t="s">
        <v>853</v>
      </c>
      <c r="B272" t="s">
        <v>42</v>
      </c>
      <c r="C272" t="s">
        <v>89</v>
      </c>
      <c r="D272">
        <v>199</v>
      </c>
      <c r="E272">
        <v>4</v>
      </c>
      <c r="F272" s="6">
        <v>11.02</v>
      </c>
      <c r="G272" s="4">
        <v>54.62</v>
      </c>
      <c r="H272" t="s">
        <v>189</v>
      </c>
      <c r="I272" t="s">
        <v>572</v>
      </c>
      <c r="J272" t="s">
        <v>854</v>
      </c>
    </row>
    <row r="273" spans="1:10" x14ac:dyDescent="0.35">
      <c r="A273" t="s">
        <v>855</v>
      </c>
      <c r="B273" t="s">
        <v>42</v>
      </c>
      <c r="C273" t="s">
        <v>56</v>
      </c>
      <c r="D273">
        <v>401.92</v>
      </c>
      <c r="E273">
        <v>4</v>
      </c>
      <c r="F273" s="6">
        <v>25.95</v>
      </c>
      <c r="G273" s="4">
        <v>28</v>
      </c>
      <c r="H273" t="s">
        <v>856</v>
      </c>
      <c r="I273" t="s">
        <v>843</v>
      </c>
      <c r="J273" t="s">
        <v>857</v>
      </c>
    </row>
    <row r="274" spans="1:10" x14ac:dyDescent="0.35">
      <c r="A274" t="s">
        <v>858</v>
      </c>
      <c r="B274" t="s">
        <v>42</v>
      </c>
      <c r="C274" t="s">
        <v>47</v>
      </c>
      <c r="D274">
        <v>356.86</v>
      </c>
      <c r="E274">
        <v>4</v>
      </c>
      <c r="F274" s="6">
        <v>38.99</v>
      </c>
      <c r="G274" s="4">
        <v>81.2</v>
      </c>
      <c r="H274" t="s">
        <v>540</v>
      </c>
      <c r="I274" t="s">
        <v>859</v>
      </c>
      <c r="J274" t="s">
        <v>860</v>
      </c>
    </row>
    <row r="275" spans="1:10" x14ac:dyDescent="0.35">
      <c r="A275" t="s">
        <v>861</v>
      </c>
      <c r="B275" t="s">
        <v>10</v>
      </c>
      <c r="C275" t="s">
        <v>37</v>
      </c>
      <c r="D275">
        <v>102.13</v>
      </c>
      <c r="E275">
        <v>5</v>
      </c>
      <c r="F275" s="6">
        <v>23.88</v>
      </c>
      <c r="G275" s="4">
        <v>84.35</v>
      </c>
      <c r="H275" t="s">
        <v>453</v>
      </c>
      <c r="I275" t="s">
        <v>24</v>
      </c>
      <c r="J275" t="s">
        <v>862</v>
      </c>
    </row>
    <row r="276" spans="1:10" x14ac:dyDescent="0.35">
      <c r="A276" t="s">
        <v>863</v>
      </c>
      <c r="B276" t="s">
        <v>16</v>
      </c>
      <c r="C276" t="s">
        <v>47</v>
      </c>
      <c r="D276">
        <v>157.35</v>
      </c>
      <c r="E276">
        <v>5</v>
      </c>
      <c r="F276" s="6">
        <v>45.14</v>
      </c>
      <c r="G276" s="4">
        <v>99.78</v>
      </c>
      <c r="H276" t="s">
        <v>864</v>
      </c>
      <c r="I276" t="s">
        <v>348</v>
      </c>
      <c r="J276" t="s">
        <v>865</v>
      </c>
    </row>
    <row r="277" spans="1:10" x14ac:dyDescent="0.35">
      <c r="A277" t="s">
        <v>866</v>
      </c>
      <c r="B277" t="s">
        <v>16</v>
      </c>
      <c r="C277" t="s">
        <v>32</v>
      </c>
      <c r="D277">
        <v>492.45</v>
      </c>
      <c r="E277">
        <v>5</v>
      </c>
      <c r="F277" s="6">
        <v>13.69</v>
      </c>
      <c r="G277" s="4">
        <v>94.81</v>
      </c>
      <c r="H277" t="s">
        <v>434</v>
      </c>
      <c r="I277" t="s">
        <v>280</v>
      </c>
      <c r="J277" t="s">
        <v>867</v>
      </c>
    </row>
    <row r="278" spans="1:10" x14ac:dyDescent="0.35">
      <c r="A278" t="s">
        <v>868</v>
      </c>
      <c r="B278" t="s">
        <v>16</v>
      </c>
      <c r="C278" t="s">
        <v>37</v>
      </c>
      <c r="D278">
        <v>191.81</v>
      </c>
      <c r="E278">
        <v>3</v>
      </c>
      <c r="F278" s="6">
        <v>30.59</v>
      </c>
      <c r="G278" s="4">
        <v>46.1</v>
      </c>
      <c r="H278" t="s">
        <v>869</v>
      </c>
      <c r="I278" t="s">
        <v>493</v>
      </c>
      <c r="J278" t="s">
        <v>870</v>
      </c>
    </row>
    <row r="279" spans="1:10" x14ac:dyDescent="0.35">
      <c r="A279" t="s">
        <v>871</v>
      </c>
      <c r="B279" t="s">
        <v>16</v>
      </c>
      <c r="C279" t="s">
        <v>61</v>
      </c>
      <c r="D279">
        <v>242.03</v>
      </c>
      <c r="E279">
        <v>5</v>
      </c>
      <c r="F279" s="6">
        <v>14.81</v>
      </c>
      <c r="G279" s="4">
        <v>51.64</v>
      </c>
      <c r="H279" t="s">
        <v>281</v>
      </c>
      <c r="I279" t="s">
        <v>102</v>
      </c>
      <c r="J279" t="s">
        <v>872</v>
      </c>
    </row>
    <row r="280" spans="1:10" x14ac:dyDescent="0.35">
      <c r="A280" t="s">
        <v>873</v>
      </c>
      <c r="B280" t="s">
        <v>16</v>
      </c>
      <c r="C280" t="s">
        <v>61</v>
      </c>
      <c r="D280">
        <v>279.64999999999998</v>
      </c>
      <c r="E280">
        <v>3</v>
      </c>
      <c r="F280" s="6">
        <v>43.49</v>
      </c>
      <c r="G280" s="4">
        <v>92.95</v>
      </c>
      <c r="H280" t="s">
        <v>416</v>
      </c>
      <c r="I280" t="s">
        <v>761</v>
      </c>
      <c r="J280" t="s">
        <v>874</v>
      </c>
    </row>
    <row r="281" spans="1:10" x14ac:dyDescent="0.35">
      <c r="A281" t="s">
        <v>875</v>
      </c>
      <c r="B281" t="s">
        <v>10</v>
      </c>
      <c r="C281" t="s">
        <v>17</v>
      </c>
      <c r="D281">
        <v>63.86</v>
      </c>
      <c r="E281">
        <v>4</v>
      </c>
      <c r="F281" s="6">
        <v>25.98</v>
      </c>
      <c r="G281" s="4">
        <v>78.010000000000005</v>
      </c>
      <c r="H281" t="s">
        <v>470</v>
      </c>
      <c r="I281" t="s">
        <v>300</v>
      </c>
      <c r="J281" t="s">
        <v>876</v>
      </c>
    </row>
    <row r="282" spans="1:10" x14ac:dyDescent="0.35">
      <c r="A282" t="s">
        <v>877</v>
      </c>
      <c r="B282" t="s">
        <v>42</v>
      </c>
      <c r="C282" t="s">
        <v>27</v>
      </c>
      <c r="D282">
        <v>271.95</v>
      </c>
      <c r="E282">
        <v>5</v>
      </c>
      <c r="F282" s="6">
        <v>3.44</v>
      </c>
      <c r="G282" s="4">
        <v>33.67</v>
      </c>
      <c r="H282" t="s">
        <v>13</v>
      </c>
      <c r="I282" t="s">
        <v>500</v>
      </c>
      <c r="J282" t="s">
        <v>878</v>
      </c>
    </row>
    <row r="283" spans="1:10" x14ac:dyDescent="0.35">
      <c r="A283" t="s">
        <v>879</v>
      </c>
      <c r="B283" t="s">
        <v>16</v>
      </c>
      <c r="C283" t="s">
        <v>61</v>
      </c>
      <c r="D283">
        <v>395.49</v>
      </c>
      <c r="E283">
        <v>4</v>
      </c>
      <c r="F283" s="6">
        <v>46.93</v>
      </c>
      <c r="G283" s="4">
        <v>46.42</v>
      </c>
      <c r="H283" t="s">
        <v>880</v>
      </c>
      <c r="I283" t="s">
        <v>386</v>
      </c>
      <c r="J283" t="s">
        <v>881</v>
      </c>
    </row>
    <row r="284" spans="1:10" x14ac:dyDescent="0.35">
      <c r="A284" t="s">
        <v>882</v>
      </c>
      <c r="B284" t="s">
        <v>42</v>
      </c>
      <c r="C284" t="s">
        <v>61</v>
      </c>
      <c r="D284">
        <v>127.67</v>
      </c>
      <c r="E284">
        <v>3</v>
      </c>
      <c r="F284" s="6">
        <v>17.89</v>
      </c>
      <c r="G284" s="4">
        <v>68.86</v>
      </c>
      <c r="H284" t="s">
        <v>883</v>
      </c>
      <c r="I284" t="s">
        <v>750</v>
      </c>
      <c r="J284" t="s">
        <v>884</v>
      </c>
    </row>
    <row r="285" spans="1:10" x14ac:dyDescent="0.35">
      <c r="A285" t="s">
        <v>885</v>
      </c>
      <c r="B285" t="s">
        <v>42</v>
      </c>
      <c r="C285" t="s">
        <v>37</v>
      </c>
      <c r="D285">
        <v>89.21</v>
      </c>
      <c r="E285">
        <v>5</v>
      </c>
      <c r="F285" s="6">
        <v>7.02</v>
      </c>
      <c r="G285" s="4">
        <v>64.56</v>
      </c>
      <c r="H285" t="s">
        <v>106</v>
      </c>
      <c r="I285" t="s">
        <v>109</v>
      </c>
      <c r="J285" t="s">
        <v>886</v>
      </c>
    </row>
    <row r="286" spans="1:10" x14ac:dyDescent="0.35">
      <c r="A286" t="s">
        <v>887</v>
      </c>
      <c r="B286" t="s">
        <v>10</v>
      </c>
      <c r="C286" t="s">
        <v>56</v>
      </c>
      <c r="D286">
        <v>402.81</v>
      </c>
      <c r="E286">
        <v>4</v>
      </c>
      <c r="F286" s="6">
        <v>14.6</v>
      </c>
      <c r="G286" s="4">
        <v>56.73</v>
      </c>
      <c r="H286" t="s">
        <v>162</v>
      </c>
      <c r="I286" t="s">
        <v>196</v>
      </c>
      <c r="J286" t="s">
        <v>888</v>
      </c>
    </row>
    <row r="287" spans="1:10" x14ac:dyDescent="0.35">
      <c r="A287" t="s">
        <v>889</v>
      </c>
      <c r="B287" t="s">
        <v>10</v>
      </c>
      <c r="C287" t="s">
        <v>89</v>
      </c>
      <c r="D287">
        <v>276.57</v>
      </c>
      <c r="E287">
        <v>5</v>
      </c>
      <c r="F287" s="6">
        <v>7.42</v>
      </c>
      <c r="G287" s="4">
        <v>50.01</v>
      </c>
      <c r="H287" t="s">
        <v>639</v>
      </c>
      <c r="I287" t="s">
        <v>546</v>
      </c>
      <c r="J287" t="s">
        <v>890</v>
      </c>
    </row>
    <row r="288" spans="1:10" x14ac:dyDescent="0.35">
      <c r="A288" t="s">
        <v>891</v>
      </c>
      <c r="B288" t="s">
        <v>42</v>
      </c>
      <c r="C288" t="s">
        <v>56</v>
      </c>
      <c r="D288">
        <v>250.28</v>
      </c>
      <c r="E288">
        <v>4</v>
      </c>
      <c r="F288" s="6">
        <v>30.98</v>
      </c>
      <c r="G288" s="4">
        <v>86.36</v>
      </c>
      <c r="H288" t="s">
        <v>730</v>
      </c>
      <c r="I288" t="s">
        <v>189</v>
      </c>
      <c r="J288" t="s">
        <v>892</v>
      </c>
    </row>
    <row r="289" spans="1:10" x14ac:dyDescent="0.35">
      <c r="A289" t="s">
        <v>893</v>
      </c>
      <c r="B289" t="s">
        <v>16</v>
      </c>
      <c r="C289" t="s">
        <v>32</v>
      </c>
      <c r="D289">
        <v>489.13</v>
      </c>
      <c r="E289">
        <v>4</v>
      </c>
      <c r="F289" s="6">
        <v>34.200000000000003</v>
      </c>
      <c r="G289" s="4">
        <v>68.260000000000005</v>
      </c>
      <c r="H289" t="s">
        <v>420</v>
      </c>
      <c r="I289" t="s">
        <v>266</v>
      </c>
      <c r="J289" t="s">
        <v>894</v>
      </c>
    </row>
    <row r="290" spans="1:10" x14ac:dyDescent="0.35">
      <c r="A290" t="s">
        <v>895</v>
      </c>
      <c r="B290" t="s">
        <v>16</v>
      </c>
      <c r="C290" t="s">
        <v>27</v>
      </c>
      <c r="D290">
        <v>379.23</v>
      </c>
      <c r="E290">
        <v>3</v>
      </c>
      <c r="F290" s="6">
        <v>12.1</v>
      </c>
      <c r="G290" s="4">
        <v>47.59</v>
      </c>
      <c r="H290" t="s">
        <v>880</v>
      </c>
      <c r="I290" t="s">
        <v>101</v>
      </c>
      <c r="J290" t="s">
        <v>896</v>
      </c>
    </row>
    <row r="291" spans="1:10" x14ac:dyDescent="0.35">
      <c r="A291" t="s">
        <v>897</v>
      </c>
      <c r="B291" t="s">
        <v>42</v>
      </c>
      <c r="C291" t="s">
        <v>11</v>
      </c>
      <c r="D291">
        <v>397.46</v>
      </c>
      <c r="E291">
        <v>3</v>
      </c>
      <c r="F291" s="6">
        <v>21.74</v>
      </c>
      <c r="G291" s="4">
        <v>85.28</v>
      </c>
      <c r="H291" t="s">
        <v>898</v>
      </c>
      <c r="I291" t="s">
        <v>171</v>
      </c>
      <c r="J291" t="s">
        <v>899</v>
      </c>
    </row>
    <row r="292" spans="1:10" x14ac:dyDescent="0.35">
      <c r="A292" t="s">
        <v>900</v>
      </c>
      <c r="B292" t="s">
        <v>42</v>
      </c>
      <c r="C292" t="s">
        <v>27</v>
      </c>
      <c r="D292">
        <v>199.65</v>
      </c>
      <c r="E292">
        <v>4</v>
      </c>
      <c r="F292" s="6">
        <v>21.08</v>
      </c>
      <c r="G292" s="4">
        <v>92.56</v>
      </c>
      <c r="H292" t="s">
        <v>217</v>
      </c>
      <c r="I292" t="s">
        <v>742</v>
      </c>
      <c r="J292" t="s">
        <v>901</v>
      </c>
    </row>
    <row r="293" spans="1:10" x14ac:dyDescent="0.35">
      <c r="A293" t="s">
        <v>902</v>
      </c>
      <c r="B293" t="s">
        <v>16</v>
      </c>
      <c r="C293" t="s">
        <v>47</v>
      </c>
      <c r="D293">
        <v>361.1</v>
      </c>
      <c r="E293">
        <v>5</v>
      </c>
      <c r="F293" s="6">
        <v>1.96</v>
      </c>
      <c r="G293" s="4">
        <v>45.2</v>
      </c>
      <c r="H293" t="s">
        <v>413</v>
      </c>
      <c r="I293" t="s">
        <v>420</v>
      </c>
      <c r="J293" t="s">
        <v>903</v>
      </c>
    </row>
    <row r="294" spans="1:10" x14ac:dyDescent="0.35">
      <c r="A294" t="s">
        <v>904</v>
      </c>
      <c r="B294" t="s">
        <v>16</v>
      </c>
      <c r="C294" t="s">
        <v>61</v>
      </c>
      <c r="D294">
        <v>118.1</v>
      </c>
      <c r="E294">
        <v>4</v>
      </c>
      <c r="F294" s="6">
        <v>31.96</v>
      </c>
      <c r="G294" s="4">
        <v>96.1</v>
      </c>
      <c r="H294" t="s">
        <v>463</v>
      </c>
      <c r="I294" t="s">
        <v>351</v>
      </c>
      <c r="J294" t="s">
        <v>905</v>
      </c>
    </row>
    <row r="295" spans="1:10" x14ac:dyDescent="0.35">
      <c r="A295" t="s">
        <v>906</v>
      </c>
      <c r="B295" t="s">
        <v>42</v>
      </c>
      <c r="C295" t="s">
        <v>61</v>
      </c>
      <c r="D295">
        <v>169.37</v>
      </c>
      <c r="E295">
        <v>5</v>
      </c>
      <c r="F295" s="6">
        <v>4.46</v>
      </c>
      <c r="G295" s="4">
        <v>25.81</v>
      </c>
      <c r="H295" t="s">
        <v>856</v>
      </c>
      <c r="I295" t="s">
        <v>206</v>
      </c>
      <c r="J295" t="s">
        <v>907</v>
      </c>
    </row>
    <row r="296" spans="1:10" x14ac:dyDescent="0.35">
      <c r="A296" t="s">
        <v>908</v>
      </c>
      <c r="B296" t="s">
        <v>16</v>
      </c>
      <c r="C296" t="s">
        <v>32</v>
      </c>
      <c r="D296">
        <v>478.99</v>
      </c>
      <c r="E296">
        <v>5</v>
      </c>
      <c r="F296" s="6">
        <v>40.479999999999997</v>
      </c>
      <c r="G296" s="4">
        <v>74.75</v>
      </c>
      <c r="H296" t="s">
        <v>909</v>
      </c>
      <c r="I296" t="s">
        <v>910</v>
      </c>
      <c r="J296" t="s">
        <v>911</v>
      </c>
    </row>
    <row r="297" spans="1:10" x14ac:dyDescent="0.35">
      <c r="A297" t="s">
        <v>912</v>
      </c>
      <c r="B297" t="s">
        <v>10</v>
      </c>
      <c r="C297" t="s">
        <v>27</v>
      </c>
      <c r="D297">
        <v>93.92</v>
      </c>
      <c r="E297">
        <v>3</v>
      </c>
      <c r="F297" s="6">
        <v>30.2</v>
      </c>
      <c r="G297" s="4">
        <v>52.69</v>
      </c>
      <c r="H297" t="s">
        <v>359</v>
      </c>
      <c r="I297" t="s">
        <v>613</v>
      </c>
      <c r="J297" t="s">
        <v>913</v>
      </c>
    </row>
    <row r="298" spans="1:10" x14ac:dyDescent="0.35">
      <c r="A298" t="s">
        <v>914</v>
      </c>
      <c r="B298" t="s">
        <v>42</v>
      </c>
      <c r="C298" t="s">
        <v>61</v>
      </c>
      <c r="D298">
        <v>365.16</v>
      </c>
      <c r="E298">
        <v>4</v>
      </c>
      <c r="F298" s="6">
        <v>37.9</v>
      </c>
      <c r="G298" s="4">
        <v>37.14</v>
      </c>
      <c r="H298" t="s">
        <v>49</v>
      </c>
      <c r="I298" t="s">
        <v>780</v>
      </c>
      <c r="J298" t="s">
        <v>915</v>
      </c>
    </row>
    <row r="299" spans="1:10" x14ac:dyDescent="0.35">
      <c r="A299" t="s">
        <v>916</v>
      </c>
      <c r="B299" t="s">
        <v>10</v>
      </c>
      <c r="C299" t="s">
        <v>56</v>
      </c>
      <c r="D299">
        <v>83.88</v>
      </c>
      <c r="E299">
        <v>3</v>
      </c>
      <c r="F299" s="6">
        <v>40.36</v>
      </c>
      <c r="G299" s="4">
        <v>69.489999999999995</v>
      </c>
      <c r="H299" t="s">
        <v>917</v>
      </c>
      <c r="I299" t="s">
        <v>918</v>
      </c>
      <c r="J299" t="s">
        <v>919</v>
      </c>
    </row>
    <row r="300" spans="1:10" x14ac:dyDescent="0.35">
      <c r="A300" t="s">
        <v>920</v>
      </c>
      <c r="B300" t="s">
        <v>42</v>
      </c>
      <c r="C300" t="s">
        <v>17</v>
      </c>
      <c r="D300">
        <v>402.18</v>
      </c>
      <c r="E300">
        <v>5</v>
      </c>
      <c r="F300" s="6">
        <v>5.59</v>
      </c>
      <c r="G300" s="4">
        <v>25.41</v>
      </c>
      <c r="H300" t="s">
        <v>618</v>
      </c>
      <c r="I300" t="s">
        <v>57</v>
      </c>
      <c r="J300" t="s">
        <v>921</v>
      </c>
    </row>
    <row r="301" spans="1:10" x14ac:dyDescent="0.35">
      <c r="A301" t="s">
        <v>922</v>
      </c>
      <c r="B301" t="s">
        <v>42</v>
      </c>
      <c r="C301" t="s">
        <v>32</v>
      </c>
      <c r="D301">
        <v>232.32</v>
      </c>
      <c r="E301">
        <v>5</v>
      </c>
      <c r="F301" s="6">
        <v>37.090000000000003</v>
      </c>
      <c r="G301" s="4">
        <v>76.790000000000006</v>
      </c>
      <c r="H301" t="s">
        <v>497</v>
      </c>
      <c r="I301" t="s">
        <v>487</v>
      </c>
      <c r="J301" t="s">
        <v>923</v>
      </c>
    </row>
    <row r="302" spans="1:10" x14ac:dyDescent="0.35">
      <c r="A302" t="s">
        <v>924</v>
      </c>
      <c r="B302" t="s">
        <v>10</v>
      </c>
      <c r="C302" t="s">
        <v>61</v>
      </c>
      <c r="D302">
        <v>334.07</v>
      </c>
      <c r="E302">
        <v>4</v>
      </c>
      <c r="F302" s="6">
        <v>5.26</v>
      </c>
      <c r="G302" s="4">
        <v>49.24</v>
      </c>
      <c r="H302" t="s">
        <v>925</v>
      </c>
      <c r="I302" t="s">
        <v>803</v>
      </c>
      <c r="J302" t="s">
        <v>926</v>
      </c>
    </row>
    <row r="303" spans="1:10" x14ac:dyDescent="0.35">
      <c r="A303" t="s">
        <v>927</v>
      </c>
      <c r="B303" t="s">
        <v>10</v>
      </c>
      <c r="C303" t="s">
        <v>17</v>
      </c>
      <c r="D303">
        <v>344.36</v>
      </c>
      <c r="E303">
        <v>4</v>
      </c>
      <c r="F303" s="6">
        <v>28.32</v>
      </c>
      <c r="G303" s="4">
        <v>90.66</v>
      </c>
      <c r="H303" t="s">
        <v>270</v>
      </c>
      <c r="I303" t="s">
        <v>928</v>
      </c>
      <c r="J303" t="s">
        <v>929</v>
      </c>
    </row>
    <row r="304" spans="1:10" x14ac:dyDescent="0.35">
      <c r="A304" t="s">
        <v>930</v>
      </c>
      <c r="B304" t="s">
        <v>42</v>
      </c>
      <c r="C304" t="s">
        <v>56</v>
      </c>
      <c r="D304">
        <v>306.58999999999997</v>
      </c>
      <c r="E304">
        <v>4</v>
      </c>
      <c r="F304" s="6">
        <v>21.42</v>
      </c>
      <c r="G304" s="4">
        <v>65.69</v>
      </c>
      <c r="H304" t="s">
        <v>931</v>
      </c>
      <c r="I304" t="s">
        <v>288</v>
      </c>
      <c r="J304" t="s">
        <v>932</v>
      </c>
    </row>
    <row r="305" spans="1:10" x14ac:dyDescent="0.35">
      <c r="A305" t="s">
        <v>933</v>
      </c>
      <c r="B305" t="s">
        <v>10</v>
      </c>
      <c r="C305" t="s">
        <v>56</v>
      </c>
      <c r="D305">
        <v>482.88</v>
      </c>
      <c r="E305">
        <v>5</v>
      </c>
      <c r="F305" s="6">
        <v>10.94</v>
      </c>
      <c r="G305" s="4">
        <v>34.159999999999997</v>
      </c>
      <c r="H305" t="s">
        <v>236</v>
      </c>
      <c r="I305" t="s">
        <v>934</v>
      </c>
      <c r="J305" t="s">
        <v>935</v>
      </c>
    </row>
    <row r="306" spans="1:10" x14ac:dyDescent="0.35">
      <c r="A306" t="s">
        <v>936</v>
      </c>
      <c r="B306" t="s">
        <v>10</v>
      </c>
      <c r="C306" t="s">
        <v>22</v>
      </c>
      <c r="D306">
        <v>163.6</v>
      </c>
      <c r="E306">
        <v>5</v>
      </c>
      <c r="F306" s="6">
        <v>2.83</v>
      </c>
      <c r="G306" s="4">
        <v>87.95</v>
      </c>
      <c r="H306" t="s">
        <v>58</v>
      </c>
      <c r="I306" t="s">
        <v>676</v>
      </c>
      <c r="J306" t="s">
        <v>937</v>
      </c>
    </row>
    <row r="307" spans="1:10" x14ac:dyDescent="0.35">
      <c r="A307" t="s">
        <v>938</v>
      </c>
      <c r="B307" t="s">
        <v>10</v>
      </c>
      <c r="C307" t="s">
        <v>22</v>
      </c>
      <c r="D307">
        <v>159.86000000000001</v>
      </c>
      <c r="E307">
        <v>3</v>
      </c>
      <c r="F307" s="6">
        <v>22.07</v>
      </c>
      <c r="G307" s="4">
        <v>22.32</v>
      </c>
      <c r="H307" t="s">
        <v>510</v>
      </c>
      <c r="I307" t="s">
        <v>75</v>
      </c>
      <c r="J307" t="s">
        <v>939</v>
      </c>
    </row>
    <row r="308" spans="1:10" x14ac:dyDescent="0.35">
      <c r="A308" t="s">
        <v>940</v>
      </c>
      <c r="B308" t="s">
        <v>10</v>
      </c>
      <c r="C308" t="s">
        <v>22</v>
      </c>
      <c r="D308">
        <v>149.80000000000001</v>
      </c>
      <c r="E308">
        <v>5</v>
      </c>
      <c r="F308" s="6">
        <v>0.4</v>
      </c>
      <c r="G308" s="4">
        <v>47.33</v>
      </c>
      <c r="H308" t="s">
        <v>658</v>
      </c>
      <c r="I308" t="s">
        <v>536</v>
      </c>
      <c r="J308" t="s">
        <v>941</v>
      </c>
    </row>
    <row r="309" spans="1:10" x14ac:dyDescent="0.35">
      <c r="A309" t="s">
        <v>942</v>
      </c>
      <c r="B309" t="s">
        <v>16</v>
      </c>
      <c r="C309" t="s">
        <v>61</v>
      </c>
      <c r="D309">
        <v>55.67</v>
      </c>
      <c r="E309">
        <v>4</v>
      </c>
      <c r="F309" s="6">
        <v>18.16</v>
      </c>
      <c r="G309" s="4">
        <v>13.04</v>
      </c>
      <c r="H309" t="s">
        <v>101</v>
      </c>
      <c r="I309" t="s">
        <v>618</v>
      </c>
      <c r="J309" t="s">
        <v>943</v>
      </c>
    </row>
    <row r="310" spans="1:10" x14ac:dyDescent="0.35">
      <c r="A310" t="s">
        <v>944</v>
      </c>
      <c r="B310" t="s">
        <v>10</v>
      </c>
      <c r="C310" t="s">
        <v>56</v>
      </c>
      <c r="D310">
        <v>79.14</v>
      </c>
      <c r="E310">
        <v>4</v>
      </c>
      <c r="F310" s="6">
        <v>10.199999999999999</v>
      </c>
      <c r="G310" s="4">
        <v>78.86</v>
      </c>
      <c r="H310" t="s">
        <v>834</v>
      </c>
      <c r="I310" t="s">
        <v>945</v>
      </c>
      <c r="J310" t="s">
        <v>946</v>
      </c>
    </row>
    <row r="311" spans="1:10" x14ac:dyDescent="0.35">
      <c r="A311" t="s">
        <v>947</v>
      </c>
      <c r="B311" t="s">
        <v>10</v>
      </c>
      <c r="C311" t="s">
        <v>11</v>
      </c>
      <c r="D311">
        <v>176.27</v>
      </c>
      <c r="E311">
        <v>4</v>
      </c>
      <c r="F311" s="6">
        <v>36.299999999999997</v>
      </c>
      <c r="G311" s="4">
        <v>56.75</v>
      </c>
      <c r="H311" t="s">
        <v>494</v>
      </c>
      <c r="I311" t="s">
        <v>948</v>
      </c>
      <c r="J311" t="s">
        <v>949</v>
      </c>
    </row>
    <row r="312" spans="1:10" x14ac:dyDescent="0.35">
      <c r="A312" t="s">
        <v>950</v>
      </c>
      <c r="B312" t="s">
        <v>16</v>
      </c>
      <c r="C312" t="s">
        <v>32</v>
      </c>
      <c r="D312">
        <v>452.05</v>
      </c>
      <c r="E312">
        <v>4</v>
      </c>
      <c r="F312" s="6">
        <v>38.82</v>
      </c>
      <c r="G312" s="4">
        <v>71.760000000000005</v>
      </c>
      <c r="H312" t="s">
        <v>401</v>
      </c>
      <c r="I312" t="s">
        <v>172</v>
      </c>
      <c r="J312" t="s">
        <v>951</v>
      </c>
    </row>
    <row r="313" spans="1:10" x14ac:dyDescent="0.35">
      <c r="A313" t="s">
        <v>952</v>
      </c>
      <c r="B313" t="s">
        <v>16</v>
      </c>
      <c r="C313" t="s">
        <v>61</v>
      </c>
      <c r="D313">
        <v>373.44</v>
      </c>
      <c r="E313">
        <v>3</v>
      </c>
      <c r="F313" s="6">
        <v>8.8000000000000007</v>
      </c>
      <c r="G313" s="4">
        <v>60.43</v>
      </c>
      <c r="H313" t="s">
        <v>624</v>
      </c>
      <c r="I313" t="s">
        <v>217</v>
      </c>
      <c r="J313" t="s">
        <v>953</v>
      </c>
    </row>
    <row r="314" spans="1:10" x14ac:dyDescent="0.35">
      <c r="A314" t="s">
        <v>954</v>
      </c>
      <c r="B314" t="s">
        <v>42</v>
      </c>
      <c r="C314" t="s">
        <v>61</v>
      </c>
      <c r="D314">
        <v>259.52</v>
      </c>
      <c r="E314">
        <v>5</v>
      </c>
      <c r="F314" s="6">
        <v>45.69</v>
      </c>
      <c r="G314" s="4">
        <v>29.49</v>
      </c>
      <c r="H314" t="s">
        <v>955</v>
      </c>
      <c r="I314" t="s">
        <v>359</v>
      </c>
      <c r="J314" t="s">
        <v>956</v>
      </c>
    </row>
    <row r="315" spans="1:10" x14ac:dyDescent="0.35">
      <c r="A315" t="s">
        <v>957</v>
      </c>
      <c r="B315" t="s">
        <v>16</v>
      </c>
      <c r="C315" t="s">
        <v>61</v>
      </c>
      <c r="D315">
        <v>302.49</v>
      </c>
      <c r="E315">
        <v>5</v>
      </c>
      <c r="F315" s="6">
        <v>22.6</v>
      </c>
      <c r="G315" s="4">
        <v>11.47</v>
      </c>
      <c r="H315" t="s">
        <v>686</v>
      </c>
      <c r="I315" t="s">
        <v>370</v>
      </c>
      <c r="J315" t="s">
        <v>958</v>
      </c>
    </row>
    <row r="316" spans="1:10" x14ac:dyDescent="0.35">
      <c r="A316" t="s">
        <v>959</v>
      </c>
      <c r="B316" t="s">
        <v>16</v>
      </c>
      <c r="C316" t="s">
        <v>32</v>
      </c>
      <c r="D316">
        <v>118.74</v>
      </c>
      <c r="E316">
        <v>4</v>
      </c>
      <c r="F316" s="6">
        <v>19.809999999999999</v>
      </c>
      <c r="G316" s="4">
        <v>27.65</v>
      </c>
      <c r="H316" t="s">
        <v>960</v>
      </c>
      <c r="I316" t="s">
        <v>513</v>
      </c>
      <c r="J316" t="s">
        <v>961</v>
      </c>
    </row>
    <row r="317" spans="1:10" x14ac:dyDescent="0.35">
      <c r="A317" t="s">
        <v>962</v>
      </c>
      <c r="B317" t="s">
        <v>42</v>
      </c>
      <c r="C317" t="s">
        <v>11</v>
      </c>
      <c r="D317">
        <v>427.54</v>
      </c>
      <c r="E317">
        <v>3</v>
      </c>
      <c r="F317" s="6">
        <v>44.1</v>
      </c>
      <c r="G317" s="4">
        <v>70.319999999999993</v>
      </c>
      <c r="H317" t="s">
        <v>589</v>
      </c>
      <c r="I317" t="s">
        <v>650</v>
      </c>
      <c r="J317" t="s">
        <v>963</v>
      </c>
    </row>
    <row r="318" spans="1:10" x14ac:dyDescent="0.35">
      <c r="A318" t="s">
        <v>964</v>
      </c>
      <c r="B318" t="s">
        <v>42</v>
      </c>
      <c r="C318" t="s">
        <v>37</v>
      </c>
      <c r="D318">
        <v>486.77</v>
      </c>
      <c r="E318">
        <v>4</v>
      </c>
      <c r="F318" s="6">
        <v>3.17</v>
      </c>
      <c r="G318" s="4">
        <v>33.89</v>
      </c>
      <c r="H318" t="s">
        <v>359</v>
      </c>
      <c r="I318" t="s">
        <v>354</v>
      </c>
      <c r="J318" t="s">
        <v>965</v>
      </c>
    </row>
    <row r="319" spans="1:10" x14ac:dyDescent="0.35">
      <c r="A319" t="s">
        <v>966</v>
      </c>
      <c r="B319" t="s">
        <v>10</v>
      </c>
      <c r="C319" t="s">
        <v>89</v>
      </c>
      <c r="D319">
        <v>315.16000000000003</v>
      </c>
      <c r="E319">
        <v>3</v>
      </c>
      <c r="F319" s="6">
        <v>44.71</v>
      </c>
      <c r="G319" s="4">
        <v>41.31</v>
      </c>
      <c r="H319" t="s">
        <v>318</v>
      </c>
      <c r="I319" t="s">
        <v>490</v>
      </c>
      <c r="J319" t="s">
        <v>967</v>
      </c>
    </row>
    <row r="320" spans="1:10" x14ac:dyDescent="0.35">
      <c r="A320" t="s">
        <v>968</v>
      </c>
      <c r="B320" t="s">
        <v>42</v>
      </c>
      <c r="C320" t="s">
        <v>17</v>
      </c>
      <c r="D320">
        <v>407.62</v>
      </c>
      <c r="E320">
        <v>5</v>
      </c>
      <c r="F320" s="6">
        <v>34.57</v>
      </c>
      <c r="G320" s="4">
        <v>97.81</v>
      </c>
      <c r="H320" t="s">
        <v>358</v>
      </c>
      <c r="I320" t="s">
        <v>359</v>
      </c>
      <c r="J320" t="s">
        <v>969</v>
      </c>
    </row>
    <row r="321" spans="1:10" x14ac:dyDescent="0.35">
      <c r="A321" t="s">
        <v>970</v>
      </c>
      <c r="B321" t="s">
        <v>10</v>
      </c>
      <c r="C321" t="s">
        <v>89</v>
      </c>
      <c r="D321">
        <v>270.07</v>
      </c>
      <c r="E321">
        <v>4</v>
      </c>
      <c r="F321" s="6">
        <v>23.24</v>
      </c>
      <c r="G321" s="4">
        <v>62.2</v>
      </c>
      <c r="H321" t="s">
        <v>775</v>
      </c>
      <c r="I321" t="s">
        <v>417</v>
      </c>
      <c r="J321" t="s">
        <v>971</v>
      </c>
    </row>
    <row r="322" spans="1:10" x14ac:dyDescent="0.35">
      <c r="A322" t="s">
        <v>972</v>
      </c>
      <c r="B322" t="s">
        <v>10</v>
      </c>
      <c r="C322" t="s">
        <v>27</v>
      </c>
      <c r="D322">
        <v>225.48</v>
      </c>
      <c r="E322">
        <v>4</v>
      </c>
      <c r="F322" s="6">
        <v>29.43</v>
      </c>
      <c r="G322" s="4">
        <v>14.95</v>
      </c>
      <c r="H322" t="s">
        <v>171</v>
      </c>
      <c r="I322" t="s">
        <v>284</v>
      </c>
      <c r="J322" t="s">
        <v>973</v>
      </c>
    </row>
    <row r="323" spans="1:10" x14ac:dyDescent="0.35">
      <c r="A323" t="s">
        <v>974</v>
      </c>
      <c r="B323" t="s">
        <v>42</v>
      </c>
      <c r="C323" t="s">
        <v>37</v>
      </c>
      <c r="D323">
        <v>485.59</v>
      </c>
      <c r="E323">
        <v>3</v>
      </c>
      <c r="F323" s="6">
        <v>25.44</v>
      </c>
      <c r="G323" s="4">
        <v>51.84</v>
      </c>
      <c r="H323" t="s">
        <v>155</v>
      </c>
      <c r="I323" t="s">
        <v>975</v>
      </c>
      <c r="J323" t="s">
        <v>976</v>
      </c>
    </row>
    <row r="324" spans="1:10" x14ac:dyDescent="0.35">
      <c r="A324" t="s">
        <v>977</v>
      </c>
      <c r="B324" t="s">
        <v>16</v>
      </c>
      <c r="C324" t="s">
        <v>61</v>
      </c>
      <c r="D324">
        <v>451.66</v>
      </c>
      <c r="E324">
        <v>4</v>
      </c>
      <c r="F324" s="6">
        <v>21.78</v>
      </c>
      <c r="G324" s="4">
        <v>71.12</v>
      </c>
      <c r="H324" t="s">
        <v>607</v>
      </c>
      <c r="I324" t="s">
        <v>978</v>
      </c>
      <c r="J324" t="s">
        <v>979</v>
      </c>
    </row>
    <row r="325" spans="1:10" x14ac:dyDescent="0.35">
      <c r="A325" t="s">
        <v>980</v>
      </c>
      <c r="B325" t="s">
        <v>10</v>
      </c>
      <c r="C325" t="s">
        <v>27</v>
      </c>
      <c r="D325">
        <v>398.48</v>
      </c>
      <c r="E325">
        <v>4</v>
      </c>
      <c r="F325" s="6">
        <v>12.84</v>
      </c>
      <c r="G325" s="4">
        <v>47.9</v>
      </c>
      <c r="H325" t="s">
        <v>848</v>
      </c>
      <c r="I325" t="s">
        <v>693</v>
      </c>
      <c r="J325" t="s">
        <v>981</v>
      </c>
    </row>
    <row r="326" spans="1:10" x14ac:dyDescent="0.35">
      <c r="A326" t="s">
        <v>982</v>
      </c>
      <c r="B326" t="s">
        <v>42</v>
      </c>
      <c r="C326" t="s">
        <v>37</v>
      </c>
      <c r="D326">
        <v>137.05000000000001</v>
      </c>
      <c r="E326">
        <v>4</v>
      </c>
      <c r="F326" s="6">
        <v>44.53</v>
      </c>
      <c r="G326" s="4">
        <v>98.43</v>
      </c>
      <c r="H326" t="s">
        <v>983</v>
      </c>
      <c r="I326" t="s">
        <v>848</v>
      </c>
      <c r="J326" t="s">
        <v>984</v>
      </c>
    </row>
    <row r="327" spans="1:10" x14ac:dyDescent="0.35">
      <c r="A327" t="s">
        <v>985</v>
      </c>
      <c r="B327" t="s">
        <v>42</v>
      </c>
      <c r="C327" t="s">
        <v>37</v>
      </c>
      <c r="D327">
        <v>169.86</v>
      </c>
      <c r="E327">
        <v>5</v>
      </c>
      <c r="F327" s="6">
        <v>36.119999999999997</v>
      </c>
      <c r="G327" s="4">
        <v>70.39</v>
      </c>
      <c r="H327" t="s">
        <v>804</v>
      </c>
      <c r="I327" t="s">
        <v>545</v>
      </c>
      <c r="J327" t="s">
        <v>986</v>
      </c>
    </row>
    <row r="328" spans="1:10" x14ac:dyDescent="0.35">
      <c r="A328" t="s">
        <v>987</v>
      </c>
      <c r="B328" t="s">
        <v>10</v>
      </c>
      <c r="C328" t="s">
        <v>61</v>
      </c>
      <c r="D328">
        <v>193.24</v>
      </c>
      <c r="E328">
        <v>3</v>
      </c>
      <c r="F328" s="6">
        <v>47.23</v>
      </c>
      <c r="G328" s="4">
        <v>10.220000000000001</v>
      </c>
      <c r="H328" t="s">
        <v>102</v>
      </c>
      <c r="I328" t="s">
        <v>988</v>
      </c>
      <c r="J328" t="s">
        <v>989</v>
      </c>
    </row>
    <row r="329" spans="1:10" x14ac:dyDescent="0.35">
      <c r="A329" t="s">
        <v>990</v>
      </c>
      <c r="B329" t="s">
        <v>42</v>
      </c>
      <c r="C329" t="s">
        <v>22</v>
      </c>
      <c r="D329">
        <v>262.36</v>
      </c>
      <c r="E329">
        <v>3</v>
      </c>
      <c r="F329" s="6">
        <v>15.05</v>
      </c>
      <c r="G329" s="4">
        <v>12.33</v>
      </c>
      <c r="H329" t="s">
        <v>991</v>
      </c>
      <c r="I329" t="s">
        <v>396</v>
      </c>
      <c r="J329" t="s">
        <v>992</v>
      </c>
    </row>
    <row r="330" spans="1:10" x14ac:dyDescent="0.35">
      <c r="A330" t="s">
        <v>993</v>
      </c>
      <c r="B330" t="s">
        <v>42</v>
      </c>
      <c r="C330" t="s">
        <v>37</v>
      </c>
      <c r="D330">
        <v>314.82</v>
      </c>
      <c r="E330">
        <v>4</v>
      </c>
      <c r="F330" s="6">
        <v>3.64</v>
      </c>
      <c r="G330" s="4">
        <v>17.43</v>
      </c>
      <c r="H330" t="s">
        <v>140</v>
      </c>
      <c r="I330" t="s">
        <v>530</v>
      </c>
      <c r="J330" t="s">
        <v>994</v>
      </c>
    </row>
    <row r="331" spans="1:10" x14ac:dyDescent="0.35">
      <c r="A331" t="s">
        <v>995</v>
      </c>
      <c r="B331" t="s">
        <v>16</v>
      </c>
      <c r="C331" t="s">
        <v>61</v>
      </c>
      <c r="D331">
        <v>413.63</v>
      </c>
      <c r="E331">
        <v>3</v>
      </c>
      <c r="F331" s="6">
        <v>47.39</v>
      </c>
      <c r="G331" s="4">
        <v>14.03</v>
      </c>
      <c r="H331" t="s">
        <v>996</v>
      </c>
      <c r="I331" t="s">
        <v>216</v>
      </c>
      <c r="J331" t="s">
        <v>997</v>
      </c>
    </row>
    <row r="332" spans="1:10" x14ac:dyDescent="0.35">
      <c r="A332" t="s">
        <v>998</v>
      </c>
      <c r="B332" t="s">
        <v>10</v>
      </c>
      <c r="C332" t="s">
        <v>32</v>
      </c>
      <c r="D332">
        <v>466.46</v>
      </c>
      <c r="E332">
        <v>3</v>
      </c>
      <c r="F332" s="6">
        <v>25.91</v>
      </c>
      <c r="G332" s="4">
        <v>14.82</v>
      </c>
      <c r="H332" t="s">
        <v>79</v>
      </c>
      <c r="I332" t="s">
        <v>280</v>
      </c>
      <c r="J332" t="s">
        <v>999</v>
      </c>
    </row>
    <row r="333" spans="1:10" x14ac:dyDescent="0.35">
      <c r="A333" t="s">
        <v>1000</v>
      </c>
      <c r="B333" t="s">
        <v>10</v>
      </c>
      <c r="C333" t="s">
        <v>17</v>
      </c>
      <c r="D333">
        <v>361.47</v>
      </c>
      <c r="E333">
        <v>4</v>
      </c>
      <c r="F333" s="6">
        <v>29.5</v>
      </c>
      <c r="G333" s="4">
        <v>34.82</v>
      </c>
      <c r="H333" t="s">
        <v>53</v>
      </c>
      <c r="I333" t="s">
        <v>1001</v>
      </c>
      <c r="J333" t="s">
        <v>1002</v>
      </c>
    </row>
    <row r="334" spans="1:10" x14ac:dyDescent="0.35">
      <c r="A334" t="s">
        <v>1003</v>
      </c>
      <c r="B334" t="s">
        <v>42</v>
      </c>
      <c r="C334" t="s">
        <v>89</v>
      </c>
      <c r="D334">
        <v>292.27</v>
      </c>
      <c r="E334">
        <v>3</v>
      </c>
      <c r="F334" s="6">
        <v>27.96</v>
      </c>
      <c r="G334" s="4">
        <v>26.42</v>
      </c>
      <c r="H334" t="s">
        <v>880</v>
      </c>
      <c r="I334" t="s">
        <v>102</v>
      </c>
      <c r="J334" t="s">
        <v>1004</v>
      </c>
    </row>
    <row r="335" spans="1:10" x14ac:dyDescent="0.35">
      <c r="A335" t="s">
        <v>1005</v>
      </c>
      <c r="B335" t="s">
        <v>16</v>
      </c>
      <c r="C335" t="s">
        <v>11</v>
      </c>
      <c r="D335">
        <v>130.19999999999999</v>
      </c>
      <c r="E335">
        <v>4</v>
      </c>
      <c r="F335" s="6">
        <v>8.3000000000000007</v>
      </c>
      <c r="G335" s="4">
        <v>87.83</v>
      </c>
      <c r="H335" t="s">
        <v>781</v>
      </c>
      <c r="I335" t="s">
        <v>593</v>
      </c>
      <c r="J335" t="s">
        <v>1006</v>
      </c>
    </row>
    <row r="336" spans="1:10" x14ac:dyDescent="0.35">
      <c r="A336" t="s">
        <v>1007</v>
      </c>
      <c r="B336" t="s">
        <v>10</v>
      </c>
      <c r="C336" t="s">
        <v>47</v>
      </c>
      <c r="D336">
        <v>159.71</v>
      </c>
      <c r="E336">
        <v>4</v>
      </c>
      <c r="F336" s="6">
        <v>28.16</v>
      </c>
      <c r="G336" s="4">
        <v>87.6</v>
      </c>
      <c r="H336" t="s">
        <v>171</v>
      </c>
      <c r="I336" t="s">
        <v>633</v>
      </c>
      <c r="J336" t="s">
        <v>1008</v>
      </c>
    </row>
    <row r="337" spans="1:10" x14ac:dyDescent="0.35">
      <c r="A337" t="s">
        <v>1009</v>
      </c>
      <c r="B337" t="s">
        <v>16</v>
      </c>
      <c r="C337" t="s">
        <v>17</v>
      </c>
      <c r="D337">
        <v>193.46</v>
      </c>
      <c r="E337">
        <v>4</v>
      </c>
      <c r="F337" s="6">
        <v>7.83</v>
      </c>
      <c r="G337" s="4">
        <v>78.349999999999994</v>
      </c>
      <c r="H337" t="s">
        <v>713</v>
      </c>
      <c r="I337" t="s">
        <v>1010</v>
      </c>
      <c r="J337" t="s">
        <v>1011</v>
      </c>
    </row>
    <row r="338" spans="1:10" x14ac:dyDescent="0.35">
      <c r="A338" t="s">
        <v>1012</v>
      </c>
      <c r="B338" t="s">
        <v>42</v>
      </c>
      <c r="C338" t="s">
        <v>17</v>
      </c>
      <c r="D338">
        <v>134.37</v>
      </c>
      <c r="E338">
        <v>4</v>
      </c>
      <c r="F338" s="6">
        <v>5.71</v>
      </c>
      <c r="G338" s="4">
        <v>37.6</v>
      </c>
      <c r="H338" t="s">
        <v>79</v>
      </c>
      <c r="I338" t="s">
        <v>1013</v>
      </c>
      <c r="J338" t="s">
        <v>1014</v>
      </c>
    </row>
    <row r="339" spans="1:10" x14ac:dyDescent="0.35">
      <c r="A339" t="s">
        <v>1015</v>
      </c>
      <c r="B339" t="s">
        <v>42</v>
      </c>
      <c r="C339" t="s">
        <v>32</v>
      </c>
      <c r="D339">
        <v>245.18</v>
      </c>
      <c r="E339">
        <v>3</v>
      </c>
      <c r="F339" s="6">
        <v>0.19</v>
      </c>
      <c r="G339" s="4">
        <v>10.92</v>
      </c>
      <c r="H339" t="s">
        <v>526</v>
      </c>
      <c r="I339" t="s">
        <v>527</v>
      </c>
      <c r="J339" t="s">
        <v>1016</v>
      </c>
    </row>
    <row r="340" spans="1:10" x14ac:dyDescent="0.35">
      <c r="A340" t="s">
        <v>1017</v>
      </c>
      <c r="B340" t="s">
        <v>16</v>
      </c>
      <c r="C340" t="s">
        <v>47</v>
      </c>
      <c r="D340">
        <v>200.03</v>
      </c>
      <c r="E340">
        <v>5</v>
      </c>
      <c r="F340" s="6">
        <v>32.06</v>
      </c>
      <c r="G340" s="4">
        <v>50.19</v>
      </c>
      <c r="H340" t="s">
        <v>182</v>
      </c>
      <c r="I340" t="s">
        <v>192</v>
      </c>
      <c r="J340" t="s">
        <v>1018</v>
      </c>
    </row>
    <row r="341" spans="1:10" x14ac:dyDescent="0.35">
      <c r="A341" t="s">
        <v>1019</v>
      </c>
      <c r="B341" t="s">
        <v>10</v>
      </c>
      <c r="C341" t="s">
        <v>56</v>
      </c>
      <c r="D341">
        <v>171.28</v>
      </c>
      <c r="E341">
        <v>5</v>
      </c>
      <c r="F341" s="6">
        <v>40.47</v>
      </c>
      <c r="G341" s="4">
        <v>39.83</v>
      </c>
      <c r="H341" t="s">
        <v>113</v>
      </c>
      <c r="I341" t="s">
        <v>281</v>
      </c>
      <c r="J341" t="s">
        <v>1020</v>
      </c>
    </row>
    <row r="342" spans="1:10" x14ac:dyDescent="0.35">
      <c r="A342" t="s">
        <v>1021</v>
      </c>
      <c r="B342" t="s">
        <v>42</v>
      </c>
      <c r="C342" t="s">
        <v>47</v>
      </c>
      <c r="D342">
        <v>350.06</v>
      </c>
      <c r="E342">
        <v>4</v>
      </c>
      <c r="F342" s="6">
        <v>16.760000000000002</v>
      </c>
      <c r="G342" s="4">
        <v>13.94</v>
      </c>
      <c r="H342" t="s">
        <v>284</v>
      </c>
      <c r="I342" t="s">
        <v>1022</v>
      </c>
      <c r="J342" t="s">
        <v>1023</v>
      </c>
    </row>
    <row r="343" spans="1:10" x14ac:dyDescent="0.35">
      <c r="A343" t="s">
        <v>1024</v>
      </c>
      <c r="B343" t="s">
        <v>42</v>
      </c>
      <c r="C343" t="s">
        <v>17</v>
      </c>
      <c r="D343">
        <v>486.7</v>
      </c>
      <c r="E343">
        <v>3</v>
      </c>
      <c r="F343" s="6">
        <v>21.03</v>
      </c>
      <c r="G343" s="4">
        <v>22.62</v>
      </c>
      <c r="H343" t="s">
        <v>318</v>
      </c>
      <c r="I343" t="s">
        <v>154</v>
      </c>
      <c r="J343" t="s">
        <v>1025</v>
      </c>
    </row>
    <row r="344" spans="1:10" x14ac:dyDescent="0.35">
      <c r="A344" t="s">
        <v>1026</v>
      </c>
      <c r="B344" t="s">
        <v>10</v>
      </c>
      <c r="C344" t="s">
        <v>47</v>
      </c>
      <c r="D344">
        <v>168</v>
      </c>
      <c r="E344">
        <v>3</v>
      </c>
      <c r="F344" s="6">
        <v>1.52</v>
      </c>
      <c r="G344" s="4">
        <v>92.26</v>
      </c>
      <c r="H344" t="s">
        <v>244</v>
      </c>
      <c r="I344" t="s">
        <v>304</v>
      </c>
      <c r="J344" t="s">
        <v>1027</v>
      </c>
    </row>
    <row r="345" spans="1:10" x14ac:dyDescent="0.35">
      <c r="A345" t="s">
        <v>1028</v>
      </c>
      <c r="B345" t="s">
        <v>10</v>
      </c>
      <c r="C345" t="s">
        <v>17</v>
      </c>
      <c r="D345">
        <v>131.25</v>
      </c>
      <c r="E345">
        <v>3</v>
      </c>
      <c r="F345" s="6">
        <v>26.42</v>
      </c>
      <c r="G345" s="4">
        <v>99.86</v>
      </c>
      <c r="H345" t="s">
        <v>519</v>
      </c>
      <c r="I345" t="s">
        <v>273</v>
      </c>
      <c r="J345" t="s">
        <v>1029</v>
      </c>
    </row>
    <row r="346" spans="1:10" x14ac:dyDescent="0.35">
      <c r="A346" t="s">
        <v>1030</v>
      </c>
      <c r="B346" t="s">
        <v>10</v>
      </c>
      <c r="C346" t="s">
        <v>17</v>
      </c>
      <c r="D346">
        <v>239.88</v>
      </c>
      <c r="E346">
        <v>5</v>
      </c>
      <c r="F346" s="6">
        <v>3.71</v>
      </c>
      <c r="G346" s="4">
        <v>28.06</v>
      </c>
      <c r="H346" t="s">
        <v>182</v>
      </c>
      <c r="I346" t="s">
        <v>168</v>
      </c>
      <c r="J346" t="s">
        <v>1031</v>
      </c>
    </row>
    <row r="347" spans="1:10" x14ac:dyDescent="0.35">
      <c r="A347" t="s">
        <v>1032</v>
      </c>
      <c r="B347" t="s">
        <v>42</v>
      </c>
      <c r="C347" t="s">
        <v>56</v>
      </c>
      <c r="D347">
        <v>52.2</v>
      </c>
      <c r="E347">
        <v>3</v>
      </c>
      <c r="F347" s="6">
        <v>24.98</v>
      </c>
      <c r="G347" s="4">
        <v>16.239999999999998</v>
      </c>
      <c r="H347" t="s">
        <v>948</v>
      </c>
      <c r="I347" t="s">
        <v>176</v>
      </c>
      <c r="J347" t="s">
        <v>1033</v>
      </c>
    </row>
    <row r="348" spans="1:10" x14ac:dyDescent="0.35">
      <c r="A348" t="s">
        <v>1034</v>
      </c>
      <c r="B348" t="s">
        <v>10</v>
      </c>
      <c r="C348" t="s">
        <v>61</v>
      </c>
      <c r="D348">
        <v>411.65</v>
      </c>
      <c r="E348">
        <v>3</v>
      </c>
      <c r="F348" s="6">
        <v>20.5</v>
      </c>
      <c r="G348" s="4">
        <v>71.040000000000006</v>
      </c>
      <c r="H348" t="s">
        <v>450</v>
      </c>
      <c r="I348" t="s">
        <v>67</v>
      </c>
      <c r="J348" t="s">
        <v>1035</v>
      </c>
    </row>
    <row r="349" spans="1:10" x14ac:dyDescent="0.35">
      <c r="A349" t="s">
        <v>1036</v>
      </c>
      <c r="B349" t="s">
        <v>10</v>
      </c>
      <c r="C349" t="s">
        <v>11</v>
      </c>
      <c r="D349">
        <v>83.39</v>
      </c>
      <c r="E349">
        <v>5</v>
      </c>
      <c r="F349" s="6">
        <v>33.24</v>
      </c>
      <c r="G349" s="4">
        <v>61.75</v>
      </c>
      <c r="H349" t="s">
        <v>1037</v>
      </c>
      <c r="I349" t="s">
        <v>1038</v>
      </c>
      <c r="J349" t="s">
        <v>1039</v>
      </c>
    </row>
    <row r="350" spans="1:10" x14ac:dyDescent="0.35">
      <c r="A350" t="s">
        <v>1040</v>
      </c>
      <c r="B350" t="s">
        <v>42</v>
      </c>
      <c r="C350" t="s">
        <v>47</v>
      </c>
      <c r="D350">
        <v>158.94999999999999</v>
      </c>
      <c r="E350">
        <v>5</v>
      </c>
      <c r="F350" s="6">
        <v>0.84</v>
      </c>
      <c r="G350" s="4">
        <v>55.65</v>
      </c>
      <c r="H350" t="s">
        <v>39</v>
      </c>
      <c r="I350" t="s">
        <v>176</v>
      </c>
      <c r="J350" t="s">
        <v>1041</v>
      </c>
    </row>
    <row r="351" spans="1:10" x14ac:dyDescent="0.35">
      <c r="A351" t="s">
        <v>1042</v>
      </c>
      <c r="B351" t="s">
        <v>16</v>
      </c>
      <c r="C351" t="s">
        <v>61</v>
      </c>
      <c r="D351">
        <v>54.55</v>
      </c>
      <c r="E351">
        <v>3</v>
      </c>
      <c r="F351" s="6">
        <v>29.59</v>
      </c>
      <c r="G351" s="4">
        <v>82.97</v>
      </c>
      <c r="H351" t="s">
        <v>102</v>
      </c>
      <c r="I351" t="s">
        <v>745</v>
      </c>
      <c r="J351" t="s">
        <v>1043</v>
      </c>
    </row>
    <row r="352" spans="1:10" x14ac:dyDescent="0.35">
      <c r="A352" t="s">
        <v>1044</v>
      </c>
      <c r="B352" t="s">
        <v>16</v>
      </c>
      <c r="C352" t="s">
        <v>11</v>
      </c>
      <c r="D352">
        <v>415.83</v>
      </c>
      <c r="E352">
        <v>5</v>
      </c>
      <c r="F352" s="6">
        <v>24.13</v>
      </c>
      <c r="G352" s="4">
        <v>31.92</v>
      </c>
      <c r="H352" t="s">
        <v>404</v>
      </c>
      <c r="I352" t="s">
        <v>70</v>
      </c>
      <c r="J352" t="s">
        <v>1045</v>
      </c>
    </row>
    <row r="353" spans="1:10" x14ac:dyDescent="0.35">
      <c r="A353" t="s">
        <v>1046</v>
      </c>
      <c r="B353" t="s">
        <v>10</v>
      </c>
      <c r="C353" t="s">
        <v>37</v>
      </c>
      <c r="D353">
        <v>226.08</v>
      </c>
      <c r="E353">
        <v>5</v>
      </c>
      <c r="F353" s="6">
        <v>3.32</v>
      </c>
      <c r="G353" s="4">
        <v>47.77</v>
      </c>
      <c r="H353" t="s">
        <v>1047</v>
      </c>
      <c r="I353" t="s">
        <v>604</v>
      </c>
      <c r="J353" t="s">
        <v>1048</v>
      </c>
    </row>
    <row r="354" spans="1:10" x14ac:dyDescent="0.35">
      <c r="A354" t="s">
        <v>1049</v>
      </c>
      <c r="B354" t="s">
        <v>42</v>
      </c>
      <c r="C354" t="s">
        <v>32</v>
      </c>
      <c r="D354">
        <v>291.52</v>
      </c>
      <c r="E354">
        <v>3</v>
      </c>
      <c r="F354" s="6">
        <v>44.59</v>
      </c>
      <c r="G354" s="4">
        <v>94.08</v>
      </c>
      <c r="H354" t="s">
        <v>423</v>
      </c>
      <c r="I354" t="s">
        <v>18</v>
      </c>
      <c r="J354" t="s">
        <v>1050</v>
      </c>
    </row>
    <row r="355" spans="1:10" x14ac:dyDescent="0.35">
      <c r="A355" t="s">
        <v>1051</v>
      </c>
      <c r="B355" t="s">
        <v>42</v>
      </c>
      <c r="C355" t="s">
        <v>22</v>
      </c>
      <c r="D355">
        <v>386.76</v>
      </c>
      <c r="E355">
        <v>4</v>
      </c>
      <c r="F355" s="6">
        <v>24.06</v>
      </c>
      <c r="G355" s="4">
        <v>26.46</v>
      </c>
      <c r="H355" t="s">
        <v>24</v>
      </c>
      <c r="I355" t="s">
        <v>607</v>
      </c>
      <c r="J355" t="s">
        <v>1052</v>
      </c>
    </row>
    <row r="356" spans="1:10" x14ac:dyDescent="0.35">
      <c r="A356" t="s">
        <v>1053</v>
      </c>
      <c r="B356" t="s">
        <v>10</v>
      </c>
      <c r="C356" t="s">
        <v>61</v>
      </c>
      <c r="D356">
        <v>470.62</v>
      </c>
      <c r="E356">
        <v>3</v>
      </c>
      <c r="F356" s="6">
        <v>6.1</v>
      </c>
      <c r="G356" s="4">
        <v>58.68</v>
      </c>
      <c r="H356" t="s">
        <v>168</v>
      </c>
      <c r="I356" t="s">
        <v>150</v>
      </c>
      <c r="J356" t="s">
        <v>1054</v>
      </c>
    </row>
    <row r="357" spans="1:10" x14ac:dyDescent="0.35">
      <c r="A357" t="s">
        <v>1055</v>
      </c>
      <c r="B357" t="s">
        <v>16</v>
      </c>
      <c r="C357" t="s">
        <v>47</v>
      </c>
      <c r="D357">
        <v>254.28</v>
      </c>
      <c r="E357">
        <v>3</v>
      </c>
      <c r="F357" s="6">
        <v>0.94</v>
      </c>
      <c r="G357" s="4">
        <v>42.69</v>
      </c>
      <c r="H357" t="s">
        <v>224</v>
      </c>
      <c r="I357" t="s">
        <v>337</v>
      </c>
      <c r="J357" t="s">
        <v>1056</v>
      </c>
    </row>
    <row r="358" spans="1:10" x14ac:dyDescent="0.35">
      <c r="A358" t="s">
        <v>1057</v>
      </c>
      <c r="B358" t="s">
        <v>16</v>
      </c>
      <c r="C358" t="s">
        <v>11</v>
      </c>
      <c r="D358">
        <v>474.79</v>
      </c>
      <c r="E358">
        <v>4</v>
      </c>
      <c r="F358" s="6">
        <v>23.18</v>
      </c>
      <c r="G358" s="4">
        <v>70.84</v>
      </c>
      <c r="H358" t="s">
        <v>287</v>
      </c>
      <c r="I358" t="s">
        <v>575</v>
      </c>
      <c r="J358" t="s">
        <v>1058</v>
      </c>
    </row>
    <row r="359" spans="1:10" x14ac:dyDescent="0.35">
      <c r="A359" t="s">
        <v>1059</v>
      </c>
      <c r="B359" t="s">
        <v>10</v>
      </c>
      <c r="C359" t="s">
        <v>56</v>
      </c>
      <c r="D359">
        <v>321.33</v>
      </c>
      <c r="E359">
        <v>4</v>
      </c>
      <c r="F359" s="6">
        <v>33.47</v>
      </c>
      <c r="G359" s="4">
        <v>23.4</v>
      </c>
      <c r="H359" t="s">
        <v>883</v>
      </c>
      <c r="I359" t="s">
        <v>988</v>
      </c>
      <c r="J359" t="s">
        <v>1060</v>
      </c>
    </row>
    <row r="360" spans="1:10" x14ac:dyDescent="0.35">
      <c r="A360" t="s">
        <v>1061</v>
      </c>
      <c r="B360" t="s">
        <v>10</v>
      </c>
      <c r="C360" t="s">
        <v>47</v>
      </c>
      <c r="D360">
        <v>451.64</v>
      </c>
      <c r="E360">
        <v>4</v>
      </c>
      <c r="F360" s="6">
        <v>22.78</v>
      </c>
      <c r="G360" s="4">
        <v>45.09</v>
      </c>
      <c r="H360" t="s">
        <v>57</v>
      </c>
      <c r="I360" t="s">
        <v>750</v>
      </c>
      <c r="J360" t="s">
        <v>1062</v>
      </c>
    </row>
    <row r="361" spans="1:10" x14ac:dyDescent="0.35">
      <c r="A361" t="s">
        <v>1063</v>
      </c>
      <c r="B361" t="s">
        <v>10</v>
      </c>
      <c r="C361" t="s">
        <v>47</v>
      </c>
      <c r="D361">
        <v>371.25</v>
      </c>
      <c r="E361">
        <v>3</v>
      </c>
      <c r="F361" s="6">
        <v>43.95</v>
      </c>
      <c r="G361" s="4">
        <v>68.41</v>
      </c>
      <c r="H361" t="s">
        <v>540</v>
      </c>
      <c r="I361" t="s">
        <v>821</v>
      </c>
      <c r="J361" t="s">
        <v>1064</v>
      </c>
    </row>
    <row r="362" spans="1:10" x14ac:dyDescent="0.35">
      <c r="A362" t="s">
        <v>1065</v>
      </c>
      <c r="B362" t="s">
        <v>16</v>
      </c>
      <c r="C362" t="s">
        <v>27</v>
      </c>
      <c r="D362">
        <v>387.48</v>
      </c>
      <c r="E362">
        <v>4</v>
      </c>
      <c r="F362" s="6">
        <v>48.86</v>
      </c>
      <c r="G362" s="4">
        <v>20.29</v>
      </c>
      <c r="H362" t="s">
        <v>416</v>
      </c>
      <c r="I362" t="s">
        <v>603</v>
      </c>
      <c r="J362" t="s">
        <v>1066</v>
      </c>
    </row>
    <row r="363" spans="1:10" x14ac:dyDescent="0.35">
      <c r="A363" t="s">
        <v>1067</v>
      </c>
      <c r="B363" t="s">
        <v>42</v>
      </c>
      <c r="C363" t="s">
        <v>47</v>
      </c>
      <c r="D363">
        <v>269.70999999999998</v>
      </c>
      <c r="E363">
        <v>5</v>
      </c>
      <c r="F363" s="6">
        <v>10.49</v>
      </c>
      <c r="G363" s="4">
        <v>27.6</v>
      </c>
      <c r="H363" t="s">
        <v>376</v>
      </c>
      <c r="I363" t="s">
        <v>1068</v>
      </c>
      <c r="J363" t="s">
        <v>1069</v>
      </c>
    </row>
    <row r="364" spans="1:10" x14ac:dyDescent="0.35">
      <c r="A364" t="s">
        <v>1070</v>
      </c>
      <c r="B364" t="s">
        <v>10</v>
      </c>
      <c r="C364" t="s">
        <v>56</v>
      </c>
      <c r="D364">
        <v>465.57</v>
      </c>
      <c r="E364">
        <v>5</v>
      </c>
      <c r="F364" s="6">
        <v>22.74</v>
      </c>
      <c r="G364" s="4">
        <v>32.14</v>
      </c>
      <c r="H364" t="s">
        <v>724</v>
      </c>
      <c r="I364" t="s">
        <v>661</v>
      </c>
      <c r="J364" t="s">
        <v>1071</v>
      </c>
    </row>
    <row r="365" spans="1:10" x14ac:dyDescent="0.35">
      <c r="A365" t="s">
        <v>1072</v>
      </c>
      <c r="B365" t="s">
        <v>10</v>
      </c>
      <c r="C365" t="s">
        <v>17</v>
      </c>
      <c r="D365">
        <v>448.28</v>
      </c>
      <c r="E365">
        <v>3</v>
      </c>
      <c r="F365" s="6">
        <v>0.08</v>
      </c>
      <c r="G365" s="4">
        <v>21.39</v>
      </c>
      <c r="H365" t="s">
        <v>581</v>
      </c>
      <c r="I365" t="s">
        <v>143</v>
      </c>
      <c r="J365" t="s">
        <v>1073</v>
      </c>
    </row>
    <row r="366" spans="1:10" x14ac:dyDescent="0.35">
      <c r="A366" t="s">
        <v>1074</v>
      </c>
      <c r="B366" t="s">
        <v>10</v>
      </c>
      <c r="C366" t="s">
        <v>22</v>
      </c>
      <c r="D366">
        <v>159.32</v>
      </c>
      <c r="E366">
        <v>4</v>
      </c>
      <c r="F366" s="6">
        <v>45.72</v>
      </c>
      <c r="G366" s="4">
        <v>13.78</v>
      </c>
      <c r="H366" t="s">
        <v>812</v>
      </c>
      <c r="I366" t="s">
        <v>308</v>
      </c>
      <c r="J366" t="s">
        <v>1075</v>
      </c>
    </row>
    <row r="367" spans="1:10" x14ac:dyDescent="0.35">
      <c r="A367" t="s">
        <v>1076</v>
      </c>
      <c r="B367" t="s">
        <v>42</v>
      </c>
      <c r="C367" t="s">
        <v>56</v>
      </c>
      <c r="D367">
        <v>94.56</v>
      </c>
      <c r="E367">
        <v>4</v>
      </c>
      <c r="F367" s="6">
        <v>2.0099999999999998</v>
      </c>
      <c r="G367" s="4">
        <v>11.19</v>
      </c>
      <c r="H367" t="s">
        <v>960</v>
      </c>
      <c r="I367" t="s">
        <v>676</v>
      </c>
      <c r="J367" t="s">
        <v>1077</v>
      </c>
    </row>
    <row r="368" spans="1:10" x14ac:dyDescent="0.35">
      <c r="A368" t="s">
        <v>1078</v>
      </c>
      <c r="B368" t="s">
        <v>16</v>
      </c>
      <c r="C368" t="s">
        <v>56</v>
      </c>
      <c r="D368">
        <v>379.06</v>
      </c>
      <c r="E368">
        <v>4</v>
      </c>
      <c r="F368" s="6">
        <v>18.52</v>
      </c>
      <c r="G368" s="4">
        <v>80.540000000000006</v>
      </c>
      <c r="H368" t="s">
        <v>848</v>
      </c>
      <c r="I368" t="s">
        <v>1079</v>
      </c>
      <c r="J368" t="s">
        <v>1080</v>
      </c>
    </row>
    <row r="369" spans="1:10" x14ac:dyDescent="0.35">
      <c r="A369" t="s">
        <v>1081</v>
      </c>
      <c r="B369" t="s">
        <v>42</v>
      </c>
      <c r="C369" t="s">
        <v>47</v>
      </c>
      <c r="D369">
        <v>183.74</v>
      </c>
      <c r="E369">
        <v>4</v>
      </c>
      <c r="F369" s="6">
        <v>8.9499999999999993</v>
      </c>
      <c r="G369" s="4">
        <v>31.83</v>
      </c>
      <c r="H369" t="s">
        <v>53</v>
      </c>
      <c r="I369" t="s">
        <v>179</v>
      </c>
      <c r="J369" t="s">
        <v>1082</v>
      </c>
    </row>
    <row r="370" spans="1:10" x14ac:dyDescent="0.35">
      <c r="A370" t="s">
        <v>1083</v>
      </c>
      <c r="B370" t="s">
        <v>16</v>
      </c>
      <c r="C370" t="s">
        <v>22</v>
      </c>
      <c r="D370">
        <v>262.82</v>
      </c>
      <c r="E370">
        <v>4</v>
      </c>
      <c r="F370" s="6">
        <v>34.200000000000003</v>
      </c>
      <c r="G370" s="4">
        <v>89.37</v>
      </c>
      <c r="H370" t="s">
        <v>650</v>
      </c>
      <c r="I370" t="s">
        <v>62</v>
      </c>
      <c r="J370" t="s">
        <v>1084</v>
      </c>
    </row>
    <row r="371" spans="1:10" x14ac:dyDescent="0.35">
      <c r="A371" t="s">
        <v>1085</v>
      </c>
      <c r="B371" t="s">
        <v>42</v>
      </c>
      <c r="C371" t="s">
        <v>32</v>
      </c>
      <c r="D371">
        <v>101.11</v>
      </c>
      <c r="E371">
        <v>4</v>
      </c>
      <c r="F371" s="6">
        <v>12.79</v>
      </c>
      <c r="G371" s="4">
        <v>85.23</v>
      </c>
      <c r="H371" t="s">
        <v>493</v>
      </c>
      <c r="I371" t="s">
        <v>305</v>
      </c>
      <c r="J371" t="s">
        <v>1086</v>
      </c>
    </row>
    <row r="372" spans="1:10" x14ac:dyDescent="0.35">
      <c r="A372" t="s">
        <v>1087</v>
      </c>
      <c r="B372" t="s">
        <v>10</v>
      </c>
      <c r="C372" t="s">
        <v>56</v>
      </c>
      <c r="D372">
        <v>240.52</v>
      </c>
      <c r="E372">
        <v>4</v>
      </c>
      <c r="F372" s="6">
        <v>26.73</v>
      </c>
      <c r="G372" s="4">
        <v>24.88</v>
      </c>
      <c r="H372" t="s">
        <v>376</v>
      </c>
      <c r="I372" t="s">
        <v>851</v>
      </c>
      <c r="J372" t="s">
        <v>1088</v>
      </c>
    </row>
    <row r="373" spans="1:10" x14ac:dyDescent="0.35">
      <c r="A373" t="s">
        <v>1089</v>
      </c>
      <c r="B373" t="s">
        <v>42</v>
      </c>
      <c r="C373" t="s">
        <v>27</v>
      </c>
      <c r="D373">
        <v>185.46</v>
      </c>
      <c r="E373">
        <v>4</v>
      </c>
      <c r="F373" s="6">
        <v>2.31</v>
      </c>
      <c r="G373" s="4">
        <v>91.03</v>
      </c>
      <c r="H373" t="s">
        <v>1090</v>
      </c>
      <c r="I373" t="s">
        <v>292</v>
      </c>
      <c r="J373" t="s">
        <v>1091</v>
      </c>
    </row>
    <row r="374" spans="1:10" x14ac:dyDescent="0.35">
      <c r="A374" t="s">
        <v>1092</v>
      </c>
      <c r="B374" t="s">
        <v>10</v>
      </c>
      <c r="C374" t="s">
        <v>56</v>
      </c>
      <c r="D374">
        <v>309.64999999999998</v>
      </c>
      <c r="E374">
        <v>3</v>
      </c>
      <c r="F374" s="6">
        <v>27.77</v>
      </c>
      <c r="G374" s="4">
        <v>58.06</v>
      </c>
      <c r="H374" t="s">
        <v>75</v>
      </c>
      <c r="I374" t="s">
        <v>453</v>
      </c>
      <c r="J374" t="s">
        <v>1093</v>
      </c>
    </row>
    <row r="375" spans="1:10" x14ac:dyDescent="0.35">
      <c r="A375" t="s">
        <v>1094</v>
      </c>
      <c r="B375" t="s">
        <v>42</v>
      </c>
      <c r="C375" t="s">
        <v>17</v>
      </c>
      <c r="D375">
        <v>130.43</v>
      </c>
      <c r="E375">
        <v>5</v>
      </c>
      <c r="F375" s="6">
        <v>34.18</v>
      </c>
      <c r="G375" s="4">
        <v>97.22</v>
      </c>
      <c r="H375" t="s">
        <v>1095</v>
      </c>
      <c r="I375" t="s">
        <v>651</v>
      </c>
      <c r="J375" t="s">
        <v>1096</v>
      </c>
    </row>
    <row r="376" spans="1:10" x14ac:dyDescent="0.35">
      <c r="A376" t="s">
        <v>1097</v>
      </c>
      <c r="B376" t="s">
        <v>16</v>
      </c>
      <c r="C376" t="s">
        <v>37</v>
      </c>
      <c r="D376">
        <v>184.31</v>
      </c>
      <c r="E376">
        <v>5</v>
      </c>
      <c r="F376" s="6">
        <v>24.08</v>
      </c>
      <c r="G376" s="4">
        <v>16.95</v>
      </c>
      <c r="H376" t="s">
        <v>555</v>
      </c>
      <c r="I376" t="s">
        <v>607</v>
      </c>
      <c r="J376" t="s">
        <v>1098</v>
      </c>
    </row>
    <row r="377" spans="1:10" x14ac:dyDescent="0.35">
      <c r="A377" t="s">
        <v>1099</v>
      </c>
      <c r="B377" t="s">
        <v>42</v>
      </c>
      <c r="C377" t="s">
        <v>61</v>
      </c>
      <c r="D377">
        <v>210.68</v>
      </c>
      <c r="E377">
        <v>4</v>
      </c>
      <c r="F377" s="6">
        <v>43.92</v>
      </c>
      <c r="G377" s="4">
        <v>23.21</v>
      </c>
      <c r="H377" t="s">
        <v>493</v>
      </c>
      <c r="I377" t="s">
        <v>765</v>
      </c>
      <c r="J377" t="s">
        <v>1100</v>
      </c>
    </row>
    <row r="378" spans="1:10" x14ac:dyDescent="0.35">
      <c r="A378" t="s">
        <v>1101</v>
      </c>
      <c r="B378" t="s">
        <v>42</v>
      </c>
      <c r="C378" t="s">
        <v>56</v>
      </c>
      <c r="D378">
        <v>168.41</v>
      </c>
      <c r="E378">
        <v>4</v>
      </c>
      <c r="F378" s="6">
        <v>15.18</v>
      </c>
      <c r="G378" s="4">
        <v>28.16</v>
      </c>
      <c r="H378" t="s">
        <v>192</v>
      </c>
      <c r="I378" t="s">
        <v>193</v>
      </c>
      <c r="J378" t="s">
        <v>1102</v>
      </c>
    </row>
    <row r="379" spans="1:10" x14ac:dyDescent="0.35">
      <c r="A379" t="s">
        <v>1103</v>
      </c>
      <c r="B379" t="s">
        <v>16</v>
      </c>
      <c r="C379" t="s">
        <v>22</v>
      </c>
      <c r="D379">
        <v>328.77</v>
      </c>
      <c r="E379">
        <v>5</v>
      </c>
      <c r="F379" s="6">
        <v>26.03</v>
      </c>
      <c r="G379" s="4">
        <v>98.55</v>
      </c>
      <c r="H379" t="s">
        <v>717</v>
      </c>
      <c r="I379" t="s">
        <v>613</v>
      </c>
      <c r="J379" t="s">
        <v>1104</v>
      </c>
    </row>
    <row r="380" spans="1:10" x14ac:dyDescent="0.35">
      <c r="A380" t="s">
        <v>1105</v>
      </c>
      <c r="B380" t="s">
        <v>16</v>
      </c>
      <c r="C380" t="s">
        <v>32</v>
      </c>
      <c r="D380">
        <v>488.06</v>
      </c>
      <c r="E380">
        <v>3</v>
      </c>
      <c r="F380" s="6">
        <v>22.65</v>
      </c>
      <c r="G380" s="4">
        <v>83.31</v>
      </c>
      <c r="H380" t="s">
        <v>230</v>
      </c>
      <c r="I380" t="s">
        <v>196</v>
      </c>
      <c r="J380" t="s">
        <v>1106</v>
      </c>
    </row>
    <row r="381" spans="1:10" x14ac:dyDescent="0.35">
      <c r="A381" t="s">
        <v>1107</v>
      </c>
      <c r="B381" t="s">
        <v>10</v>
      </c>
      <c r="C381" t="s">
        <v>22</v>
      </c>
      <c r="D381">
        <v>158.61000000000001</v>
      </c>
      <c r="E381">
        <v>3</v>
      </c>
      <c r="F381" s="6">
        <v>8.1999999999999993</v>
      </c>
      <c r="G381" s="4">
        <v>60.52</v>
      </c>
      <c r="H381" t="s">
        <v>136</v>
      </c>
      <c r="I381" t="s">
        <v>263</v>
      </c>
      <c r="J381" t="s">
        <v>1108</v>
      </c>
    </row>
    <row r="382" spans="1:10" x14ac:dyDescent="0.35">
      <c r="A382" t="s">
        <v>1109</v>
      </c>
      <c r="B382" t="s">
        <v>10</v>
      </c>
      <c r="C382" t="s">
        <v>22</v>
      </c>
      <c r="D382">
        <v>408.03</v>
      </c>
      <c r="E382">
        <v>5</v>
      </c>
      <c r="F382" s="6">
        <v>12.72</v>
      </c>
      <c r="G382" s="4">
        <v>24.78</v>
      </c>
      <c r="H382" t="s">
        <v>686</v>
      </c>
      <c r="I382" t="s">
        <v>13</v>
      </c>
      <c r="J382" t="s">
        <v>1110</v>
      </c>
    </row>
    <row r="383" spans="1:10" x14ac:dyDescent="0.35">
      <c r="A383" t="s">
        <v>1111</v>
      </c>
      <c r="B383" t="s">
        <v>10</v>
      </c>
      <c r="C383" t="s">
        <v>37</v>
      </c>
      <c r="D383">
        <v>337.25</v>
      </c>
      <c r="E383">
        <v>4</v>
      </c>
      <c r="F383" s="6">
        <v>10.33</v>
      </c>
      <c r="G383" s="4">
        <v>57.46</v>
      </c>
      <c r="H383" t="s">
        <v>13</v>
      </c>
      <c r="I383" t="s">
        <v>714</v>
      </c>
      <c r="J383" t="s">
        <v>1112</v>
      </c>
    </row>
    <row r="384" spans="1:10" x14ac:dyDescent="0.35">
      <c r="A384" t="s">
        <v>1113</v>
      </c>
      <c r="B384" t="s">
        <v>42</v>
      </c>
      <c r="C384" t="s">
        <v>61</v>
      </c>
      <c r="D384">
        <v>162.35</v>
      </c>
      <c r="E384">
        <v>5</v>
      </c>
      <c r="F384" s="6">
        <v>12.92</v>
      </c>
      <c r="G384" s="4">
        <v>20.21</v>
      </c>
      <c r="H384" t="s">
        <v>730</v>
      </c>
      <c r="I384" t="s">
        <v>497</v>
      </c>
      <c r="J384" t="s">
        <v>1114</v>
      </c>
    </row>
    <row r="385" spans="1:10" x14ac:dyDescent="0.35">
      <c r="A385" t="s">
        <v>1115</v>
      </c>
      <c r="B385" t="s">
        <v>42</v>
      </c>
      <c r="C385" t="s">
        <v>89</v>
      </c>
      <c r="D385">
        <v>453.72</v>
      </c>
      <c r="E385">
        <v>5</v>
      </c>
      <c r="F385" s="6">
        <v>21.15</v>
      </c>
      <c r="G385" s="4">
        <v>29.95</v>
      </c>
      <c r="H385" t="s">
        <v>79</v>
      </c>
      <c r="I385" t="s">
        <v>1116</v>
      </c>
      <c r="J385" t="s">
        <v>1117</v>
      </c>
    </row>
    <row r="386" spans="1:10" x14ac:dyDescent="0.35">
      <c r="A386" t="s">
        <v>1118</v>
      </c>
      <c r="B386" t="s">
        <v>16</v>
      </c>
      <c r="C386" t="s">
        <v>22</v>
      </c>
      <c r="D386">
        <v>249.29</v>
      </c>
      <c r="E386">
        <v>5</v>
      </c>
      <c r="F386" s="6">
        <v>27.67</v>
      </c>
      <c r="G386" s="4">
        <v>68.77</v>
      </c>
      <c r="H386" t="s">
        <v>240</v>
      </c>
      <c r="I386" t="s">
        <v>1119</v>
      </c>
      <c r="J386" t="s">
        <v>1120</v>
      </c>
    </row>
    <row r="387" spans="1:10" x14ac:dyDescent="0.35">
      <c r="A387" t="s">
        <v>1121</v>
      </c>
      <c r="B387" t="s">
        <v>16</v>
      </c>
      <c r="C387" t="s">
        <v>61</v>
      </c>
      <c r="D387">
        <v>207.73</v>
      </c>
      <c r="E387">
        <v>4</v>
      </c>
      <c r="F387" s="6">
        <v>19.579999999999998</v>
      </c>
      <c r="G387" s="4">
        <v>22.29</v>
      </c>
      <c r="H387" t="s">
        <v>462</v>
      </c>
      <c r="I387" t="s">
        <v>291</v>
      </c>
      <c r="J387" t="s">
        <v>1122</v>
      </c>
    </row>
    <row r="388" spans="1:10" x14ac:dyDescent="0.35">
      <c r="A388" t="s">
        <v>1123</v>
      </c>
      <c r="B388" t="s">
        <v>42</v>
      </c>
      <c r="C388" t="s">
        <v>89</v>
      </c>
      <c r="D388">
        <v>87.43</v>
      </c>
      <c r="E388">
        <v>3</v>
      </c>
      <c r="F388" s="6">
        <v>25.79</v>
      </c>
      <c r="G388" s="4">
        <v>44.2</v>
      </c>
      <c r="H388" t="s">
        <v>79</v>
      </c>
      <c r="I388" t="s">
        <v>792</v>
      </c>
      <c r="J388" t="s">
        <v>1124</v>
      </c>
    </row>
    <row r="389" spans="1:10" x14ac:dyDescent="0.35">
      <c r="A389" t="s">
        <v>1125</v>
      </c>
      <c r="B389" t="s">
        <v>42</v>
      </c>
      <c r="C389" t="s">
        <v>61</v>
      </c>
      <c r="D389">
        <v>477.48</v>
      </c>
      <c r="E389">
        <v>5</v>
      </c>
      <c r="F389" s="6">
        <v>9.15</v>
      </c>
      <c r="G389" s="4">
        <v>70.239999999999995</v>
      </c>
      <c r="H389" t="s">
        <v>812</v>
      </c>
      <c r="I389" t="s">
        <v>23</v>
      </c>
      <c r="J389" t="s">
        <v>1126</v>
      </c>
    </row>
    <row r="390" spans="1:10" x14ac:dyDescent="0.35">
      <c r="A390" t="s">
        <v>1127</v>
      </c>
      <c r="B390" t="s">
        <v>42</v>
      </c>
      <c r="C390" t="s">
        <v>47</v>
      </c>
      <c r="D390">
        <v>249.34</v>
      </c>
      <c r="E390">
        <v>4</v>
      </c>
      <c r="F390" s="6">
        <v>19.57</v>
      </c>
      <c r="G390" s="4">
        <v>13.28</v>
      </c>
      <c r="H390" t="s">
        <v>812</v>
      </c>
      <c r="I390" t="s">
        <v>210</v>
      </c>
      <c r="J390" t="s">
        <v>1128</v>
      </c>
    </row>
    <row r="391" spans="1:10" x14ac:dyDescent="0.35">
      <c r="A391" t="s">
        <v>1129</v>
      </c>
      <c r="B391" t="s">
        <v>42</v>
      </c>
      <c r="C391" t="s">
        <v>22</v>
      </c>
      <c r="D391">
        <v>295.38</v>
      </c>
      <c r="E391">
        <v>5</v>
      </c>
      <c r="F391" s="6">
        <v>38.64</v>
      </c>
      <c r="G391" s="4">
        <v>30.98</v>
      </c>
      <c r="H391" t="s">
        <v>666</v>
      </c>
      <c r="I391" t="s">
        <v>78</v>
      </c>
      <c r="J391" t="s">
        <v>1130</v>
      </c>
    </row>
    <row r="392" spans="1:10" x14ac:dyDescent="0.35">
      <c r="A392" t="s">
        <v>1131</v>
      </c>
      <c r="B392" t="s">
        <v>42</v>
      </c>
      <c r="C392" t="s">
        <v>27</v>
      </c>
      <c r="D392">
        <v>131.24</v>
      </c>
      <c r="E392">
        <v>4</v>
      </c>
      <c r="F392" s="6">
        <v>39.39</v>
      </c>
      <c r="G392" s="4">
        <v>10.79</v>
      </c>
      <c r="H392" t="s">
        <v>1132</v>
      </c>
      <c r="I392" t="s">
        <v>176</v>
      </c>
      <c r="J392" t="s">
        <v>1133</v>
      </c>
    </row>
    <row r="393" spans="1:10" x14ac:dyDescent="0.35">
      <c r="A393" t="s">
        <v>1134</v>
      </c>
      <c r="B393" t="s">
        <v>42</v>
      </c>
      <c r="C393" t="s">
        <v>37</v>
      </c>
      <c r="D393">
        <v>402.93</v>
      </c>
      <c r="E393">
        <v>4</v>
      </c>
      <c r="F393" s="6">
        <v>17.84</v>
      </c>
      <c r="G393" s="4">
        <v>36.130000000000003</v>
      </c>
      <c r="H393" t="s">
        <v>125</v>
      </c>
      <c r="I393" t="s">
        <v>377</v>
      </c>
      <c r="J393" t="s">
        <v>1135</v>
      </c>
    </row>
    <row r="394" spans="1:10" x14ac:dyDescent="0.35">
      <c r="A394" t="s">
        <v>1136</v>
      </c>
      <c r="B394" t="s">
        <v>42</v>
      </c>
      <c r="C394" t="s">
        <v>56</v>
      </c>
      <c r="D394">
        <v>198.66</v>
      </c>
      <c r="E394">
        <v>5</v>
      </c>
      <c r="F394" s="6">
        <v>32.020000000000003</v>
      </c>
      <c r="G394" s="4">
        <v>46.55</v>
      </c>
      <c r="H394" t="s">
        <v>1047</v>
      </c>
      <c r="I394" t="s">
        <v>43</v>
      </c>
      <c r="J394" t="s">
        <v>1137</v>
      </c>
    </row>
    <row r="395" spans="1:10" x14ac:dyDescent="0.35">
      <c r="A395" t="s">
        <v>1138</v>
      </c>
      <c r="B395" t="s">
        <v>42</v>
      </c>
      <c r="C395" t="s">
        <v>89</v>
      </c>
      <c r="D395">
        <v>123.69</v>
      </c>
      <c r="E395">
        <v>5</v>
      </c>
      <c r="F395" s="6">
        <v>19.079999999999998</v>
      </c>
      <c r="G395" s="4">
        <v>87.83</v>
      </c>
      <c r="H395" t="s">
        <v>634</v>
      </c>
      <c r="I395" t="s">
        <v>284</v>
      </c>
      <c r="J395" t="s">
        <v>1139</v>
      </c>
    </row>
    <row r="396" spans="1:10" x14ac:dyDescent="0.35">
      <c r="A396" t="s">
        <v>1140</v>
      </c>
      <c r="B396" t="s">
        <v>42</v>
      </c>
      <c r="C396" t="s">
        <v>89</v>
      </c>
      <c r="D396">
        <v>226.66</v>
      </c>
      <c r="E396">
        <v>3</v>
      </c>
      <c r="F396" s="6">
        <v>1.27</v>
      </c>
      <c r="G396" s="4">
        <v>28.19</v>
      </c>
      <c r="H396" t="s">
        <v>1047</v>
      </c>
      <c r="I396" t="s">
        <v>483</v>
      </c>
      <c r="J396" t="s">
        <v>1141</v>
      </c>
    </row>
    <row r="397" spans="1:10" x14ac:dyDescent="0.35">
      <c r="A397" t="s">
        <v>1142</v>
      </c>
      <c r="B397" t="s">
        <v>16</v>
      </c>
      <c r="C397" t="s">
        <v>27</v>
      </c>
      <c r="D397">
        <v>488.99</v>
      </c>
      <c r="E397">
        <v>3</v>
      </c>
      <c r="F397" s="6">
        <v>36.74</v>
      </c>
      <c r="G397" s="4">
        <v>77.02</v>
      </c>
      <c r="H397" t="s">
        <v>179</v>
      </c>
      <c r="I397" t="s">
        <v>82</v>
      </c>
      <c r="J397" t="s">
        <v>1143</v>
      </c>
    </row>
    <row r="398" spans="1:10" x14ac:dyDescent="0.35">
      <c r="A398" t="s">
        <v>1144</v>
      </c>
      <c r="B398" t="s">
        <v>10</v>
      </c>
      <c r="C398" t="s">
        <v>27</v>
      </c>
      <c r="D398">
        <v>268.93</v>
      </c>
      <c r="E398">
        <v>3</v>
      </c>
      <c r="F398" s="6">
        <v>17.57</v>
      </c>
      <c r="G398" s="4">
        <v>86.01</v>
      </c>
      <c r="H398" t="s">
        <v>658</v>
      </c>
      <c r="I398" t="s">
        <v>354</v>
      </c>
      <c r="J398" t="s">
        <v>1145</v>
      </c>
    </row>
    <row r="399" spans="1:10" x14ac:dyDescent="0.35">
      <c r="A399" t="s">
        <v>1146</v>
      </c>
      <c r="B399" t="s">
        <v>10</v>
      </c>
      <c r="C399" t="s">
        <v>32</v>
      </c>
      <c r="D399">
        <v>417.48</v>
      </c>
      <c r="E399">
        <v>3</v>
      </c>
      <c r="F399" s="6">
        <v>11.34</v>
      </c>
      <c r="G399" s="4">
        <v>71.599999999999994</v>
      </c>
      <c r="H399" t="s">
        <v>423</v>
      </c>
      <c r="I399" t="s">
        <v>1147</v>
      </c>
      <c r="J399" t="s">
        <v>1148</v>
      </c>
    </row>
    <row r="400" spans="1:10" x14ac:dyDescent="0.35">
      <c r="A400" t="s">
        <v>1149</v>
      </c>
      <c r="B400" t="s">
        <v>16</v>
      </c>
      <c r="C400" t="s">
        <v>17</v>
      </c>
      <c r="D400">
        <v>65.83</v>
      </c>
      <c r="E400">
        <v>4</v>
      </c>
      <c r="F400" s="6">
        <v>3.25</v>
      </c>
      <c r="G400" s="4">
        <v>93.38</v>
      </c>
      <c r="H400" t="s">
        <v>209</v>
      </c>
      <c r="I400" t="s">
        <v>742</v>
      </c>
      <c r="J400" t="s">
        <v>1150</v>
      </c>
    </row>
    <row r="401" spans="1:10" x14ac:dyDescent="0.35">
      <c r="A401" t="s">
        <v>1151</v>
      </c>
      <c r="B401" t="s">
        <v>42</v>
      </c>
      <c r="C401" t="s">
        <v>17</v>
      </c>
      <c r="D401">
        <v>390.54</v>
      </c>
      <c r="E401">
        <v>5</v>
      </c>
      <c r="F401" s="6">
        <v>19.82</v>
      </c>
      <c r="G401" s="4">
        <v>96.68</v>
      </c>
      <c r="H401" t="s">
        <v>91</v>
      </c>
      <c r="I401" t="s">
        <v>1152</v>
      </c>
      <c r="J401" t="s">
        <v>1153</v>
      </c>
    </row>
    <row r="402" spans="1:10" x14ac:dyDescent="0.35">
      <c r="A402" t="s">
        <v>1154</v>
      </c>
      <c r="B402" t="s">
        <v>42</v>
      </c>
      <c r="C402" t="s">
        <v>22</v>
      </c>
      <c r="D402">
        <v>379.19</v>
      </c>
      <c r="E402">
        <v>3</v>
      </c>
      <c r="F402" s="6">
        <v>5.23</v>
      </c>
      <c r="G402" s="4">
        <v>32.520000000000003</v>
      </c>
      <c r="H402" t="s">
        <v>67</v>
      </c>
      <c r="I402" t="s">
        <v>182</v>
      </c>
      <c r="J402" t="s">
        <v>1155</v>
      </c>
    </row>
    <row r="403" spans="1:10" x14ac:dyDescent="0.35">
      <c r="A403" t="s">
        <v>1156</v>
      </c>
      <c r="B403" t="s">
        <v>16</v>
      </c>
      <c r="C403" t="s">
        <v>37</v>
      </c>
      <c r="D403">
        <v>493.74</v>
      </c>
      <c r="E403">
        <v>5</v>
      </c>
      <c r="F403" s="6">
        <v>30.63</v>
      </c>
      <c r="G403" s="4">
        <v>16.239999999999998</v>
      </c>
      <c r="H403" t="s">
        <v>330</v>
      </c>
      <c r="I403" t="s">
        <v>280</v>
      </c>
      <c r="J403" t="s">
        <v>1157</v>
      </c>
    </row>
    <row r="404" spans="1:10" x14ac:dyDescent="0.35">
      <c r="A404" t="s">
        <v>1158</v>
      </c>
      <c r="B404" t="s">
        <v>16</v>
      </c>
      <c r="C404" t="s">
        <v>61</v>
      </c>
      <c r="D404">
        <v>342.01</v>
      </c>
      <c r="E404">
        <v>4</v>
      </c>
      <c r="F404" s="6">
        <v>24.49</v>
      </c>
      <c r="G404" s="4">
        <v>75</v>
      </c>
      <c r="H404" t="s">
        <v>252</v>
      </c>
      <c r="I404" t="s">
        <v>101</v>
      </c>
      <c r="J404" t="s">
        <v>1159</v>
      </c>
    </row>
    <row r="405" spans="1:10" x14ac:dyDescent="0.35">
      <c r="A405" t="s">
        <v>1160</v>
      </c>
      <c r="B405" t="s">
        <v>16</v>
      </c>
      <c r="C405" t="s">
        <v>89</v>
      </c>
      <c r="D405">
        <v>98.61</v>
      </c>
      <c r="E405">
        <v>3</v>
      </c>
      <c r="F405" s="6">
        <v>13.32</v>
      </c>
      <c r="G405" s="4">
        <v>24.91</v>
      </c>
      <c r="H405" t="s">
        <v>376</v>
      </c>
      <c r="I405" t="s">
        <v>603</v>
      </c>
      <c r="J405" t="s">
        <v>1161</v>
      </c>
    </row>
    <row r="406" spans="1:10" x14ac:dyDescent="0.35">
      <c r="A406" t="s">
        <v>1162</v>
      </c>
      <c r="B406" t="s">
        <v>10</v>
      </c>
      <c r="C406" t="s">
        <v>47</v>
      </c>
      <c r="D406">
        <v>239.25</v>
      </c>
      <c r="E406">
        <v>4</v>
      </c>
      <c r="F406" s="6">
        <v>16.37</v>
      </c>
      <c r="G406" s="4">
        <v>74.61</v>
      </c>
      <c r="H406" t="s">
        <v>540</v>
      </c>
      <c r="I406" t="s">
        <v>821</v>
      </c>
      <c r="J406" t="s">
        <v>1163</v>
      </c>
    </row>
    <row r="407" spans="1:10" x14ac:dyDescent="0.35">
      <c r="A407" t="s">
        <v>1164</v>
      </c>
      <c r="B407" t="s">
        <v>10</v>
      </c>
      <c r="C407" t="s">
        <v>89</v>
      </c>
      <c r="D407">
        <v>498.45</v>
      </c>
      <c r="E407">
        <v>3</v>
      </c>
      <c r="F407" s="6">
        <v>34.380000000000003</v>
      </c>
      <c r="G407" s="4">
        <v>34.6</v>
      </c>
      <c r="H407" t="s">
        <v>196</v>
      </c>
      <c r="I407" t="s">
        <v>150</v>
      </c>
      <c r="J407" t="s">
        <v>1165</v>
      </c>
    </row>
    <row r="408" spans="1:10" x14ac:dyDescent="0.35">
      <c r="A408" t="s">
        <v>1166</v>
      </c>
      <c r="B408" t="s">
        <v>10</v>
      </c>
      <c r="C408" t="s">
        <v>56</v>
      </c>
      <c r="D408">
        <v>443.12</v>
      </c>
      <c r="E408">
        <v>3</v>
      </c>
      <c r="F408" s="6">
        <v>38.840000000000003</v>
      </c>
      <c r="G408" s="4">
        <v>27.59</v>
      </c>
      <c r="H408" t="s">
        <v>304</v>
      </c>
      <c r="I408" t="s">
        <v>539</v>
      </c>
      <c r="J408" t="s">
        <v>1167</v>
      </c>
    </row>
    <row r="409" spans="1:10" x14ac:dyDescent="0.35">
      <c r="A409" t="s">
        <v>1168</v>
      </c>
      <c r="B409" t="s">
        <v>42</v>
      </c>
      <c r="C409" t="s">
        <v>56</v>
      </c>
      <c r="D409">
        <v>273.01</v>
      </c>
      <c r="E409">
        <v>3</v>
      </c>
      <c r="F409" s="6">
        <v>13.29</v>
      </c>
      <c r="G409" s="4">
        <v>92.82</v>
      </c>
      <c r="H409" t="s">
        <v>679</v>
      </c>
      <c r="I409" t="s">
        <v>318</v>
      </c>
      <c r="J409" t="s">
        <v>1169</v>
      </c>
    </row>
    <row r="410" spans="1:10" x14ac:dyDescent="0.35">
      <c r="A410" t="s">
        <v>1170</v>
      </c>
      <c r="B410" t="s">
        <v>10</v>
      </c>
      <c r="C410" t="s">
        <v>47</v>
      </c>
      <c r="D410">
        <v>90.53</v>
      </c>
      <c r="E410">
        <v>3</v>
      </c>
      <c r="F410" s="6">
        <v>1.1399999999999999</v>
      </c>
      <c r="G410" s="4">
        <v>45.5</v>
      </c>
      <c r="H410" t="s">
        <v>202</v>
      </c>
      <c r="I410" t="s">
        <v>948</v>
      </c>
      <c r="J410" t="s">
        <v>1171</v>
      </c>
    </row>
    <row r="411" spans="1:10" x14ac:dyDescent="0.35">
      <c r="A411" t="s">
        <v>1172</v>
      </c>
      <c r="B411" t="s">
        <v>10</v>
      </c>
      <c r="C411" t="s">
        <v>37</v>
      </c>
      <c r="D411">
        <v>206.73</v>
      </c>
      <c r="E411">
        <v>5</v>
      </c>
      <c r="F411" s="6">
        <v>30.36</v>
      </c>
      <c r="G411" s="4">
        <v>25.72</v>
      </c>
      <c r="H411" t="s">
        <v>168</v>
      </c>
      <c r="I411" t="s">
        <v>991</v>
      </c>
      <c r="J411" t="s">
        <v>1173</v>
      </c>
    </row>
    <row r="412" spans="1:10" x14ac:dyDescent="0.35">
      <c r="A412" t="s">
        <v>1174</v>
      </c>
      <c r="B412" t="s">
        <v>16</v>
      </c>
      <c r="C412" t="s">
        <v>27</v>
      </c>
      <c r="D412">
        <v>316.75</v>
      </c>
      <c r="E412">
        <v>5</v>
      </c>
      <c r="F412" s="6">
        <v>43.69</v>
      </c>
      <c r="G412" s="4">
        <v>25.14</v>
      </c>
      <c r="H412" t="s">
        <v>1175</v>
      </c>
      <c r="I412" t="s">
        <v>70</v>
      </c>
      <c r="J412" t="s">
        <v>1176</v>
      </c>
    </row>
    <row r="413" spans="1:10" x14ac:dyDescent="0.35">
      <c r="A413" t="s">
        <v>1177</v>
      </c>
      <c r="B413" t="s">
        <v>42</v>
      </c>
      <c r="C413" t="s">
        <v>22</v>
      </c>
      <c r="D413">
        <v>250.42</v>
      </c>
      <c r="E413">
        <v>5</v>
      </c>
      <c r="F413" s="6">
        <v>42.61</v>
      </c>
      <c r="G413" s="4">
        <v>35.840000000000003</v>
      </c>
      <c r="H413" t="s">
        <v>1178</v>
      </c>
      <c r="I413" t="s">
        <v>768</v>
      </c>
      <c r="J413" t="s">
        <v>1179</v>
      </c>
    </row>
    <row r="414" spans="1:10" x14ac:dyDescent="0.35">
      <c r="A414" t="s">
        <v>1180</v>
      </c>
      <c r="B414" t="s">
        <v>42</v>
      </c>
      <c r="C414" t="s">
        <v>22</v>
      </c>
      <c r="D414">
        <v>183.96</v>
      </c>
      <c r="E414">
        <v>4</v>
      </c>
      <c r="F414" s="6">
        <v>33.85</v>
      </c>
      <c r="G414" s="4">
        <v>25.84</v>
      </c>
      <c r="H414" t="s">
        <v>1181</v>
      </c>
      <c r="I414" t="s">
        <v>213</v>
      </c>
      <c r="J414" t="s">
        <v>1182</v>
      </c>
    </row>
    <row r="415" spans="1:10" x14ac:dyDescent="0.35">
      <c r="A415" t="s">
        <v>1183</v>
      </c>
      <c r="B415" t="s">
        <v>16</v>
      </c>
      <c r="C415" t="s">
        <v>37</v>
      </c>
      <c r="D415">
        <v>492.57</v>
      </c>
      <c r="E415">
        <v>3</v>
      </c>
      <c r="F415" s="6">
        <v>6.52</v>
      </c>
      <c r="G415" s="4">
        <v>17.8</v>
      </c>
      <c r="H415" t="s">
        <v>519</v>
      </c>
      <c r="I415" t="s">
        <v>792</v>
      </c>
      <c r="J415" t="s">
        <v>1184</v>
      </c>
    </row>
    <row r="416" spans="1:10" x14ac:dyDescent="0.35">
      <c r="A416" t="s">
        <v>1185</v>
      </c>
      <c r="B416" t="s">
        <v>10</v>
      </c>
      <c r="C416" t="s">
        <v>17</v>
      </c>
      <c r="D416">
        <v>174.01</v>
      </c>
      <c r="E416">
        <v>5</v>
      </c>
      <c r="F416" s="6">
        <v>20.69</v>
      </c>
      <c r="G416" s="4">
        <v>41.23</v>
      </c>
      <c r="H416" t="s">
        <v>453</v>
      </c>
      <c r="I416" t="s">
        <v>724</v>
      </c>
      <c r="J416" t="s">
        <v>1186</v>
      </c>
    </row>
    <row r="417" spans="1:10" x14ac:dyDescent="0.35">
      <c r="A417" t="s">
        <v>1187</v>
      </c>
      <c r="B417" t="s">
        <v>16</v>
      </c>
      <c r="C417" t="s">
        <v>32</v>
      </c>
      <c r="D417">
        <v>415.98</v>
      </c>
      <c r="E417">
        <v>5</v>
      </c>
      <c r="F417" s="6">
        <v>48.19</v>
      </c>
      <c r="G417" s="4">
        <v>37.65</v>
      </c>
      <c r="H417" t="s">
        <v>401</v>
      </c>
      <c r="I417" t="s">
        <v>205</v>
      </c>
      <c r="J417" t="s">
        <v>1188</v>
      </c>
    </row>
    <row r="418" spans="1:10" x14ac:dyDescent="0.35">
      <c r="A418" t="s">
        <v>1189</v>
      </c>
      <c r="B418" t="s">
        <v>16</v>
      </c>
      <c r="C418" t="s">
        <v>11</v>
      </c>
      <c r="D418">
        <v>225.26</v>
      </c>
      <c r="E418">
        <v>4</v>
      </c>
      <c r="F418" s="6">
        <v>44.88</v>
      </c>
      <c r="G418" s="4">
        <v>25.91</v>
      </c>
      <c r="H418" t="s">
        <v>23</v>
      </c>
      <c r="I418" t="s">
        <v>975</v>
      </c>
      <c r="J418" t="s">
        <v>1190</v>
      </c>
    </row>
    <row r="419" spans="1:10" x14ac:dyDescent="0.35">
      <c r="A419" t="s">
        <v>1191</v>
      </c>
      <c r="B419" t="s">
        <v>16</v>
      </c>
      <c r="C419" t="s">
        <v>47</v>
      </c>
      <c r="D419">
        <v>266.89</v>
      </c>
      <c r="E419">
        <v>4</v>
      </c>
      <c r="F419" s="6">
        <v>14.14</v>
      </c>
      <c r="G419" s="4">
        <v>18.649999999999999</v>
      </c>
      <c r="H419" t="s">
        <v>1192</v>
      </c>
      <c r="I419" t="s">
        <v>545</v>
      </c>
      <c r="J419" t="s">
        <v>1193</v>
      </c>
    </row>
    <row r="420" spans="1:10" x14ac:dyDescent="0.35">
      <c r="A420" t="s">
        <v>1194</v>
      </c>
      <c r="B420" t="s">
        <v>42</v>
      </c>
      <c r="C420" t="s">
        <v>17</v>
      </c>
      <c r="D420">
        <v>478.3</v>
      </c>
      <c r="E420">
        <v>4</v>
      </c>
      <c r="F420" s="6">
        <v>18.2</v>
      </c>
      <c r="G420" s="4">
        <v>81.36</v>
      </c>
      <c r="H420" t="s">
        <v>129</v>
      </c>
      <c r="I420" t="s">
        <v>189</v>
      </c>
      <c r="J420" t="s">
        <v>1195</v>
      </c>
    </row>
    <row r="421" spans="1:10" x14ac:dyDescent="0.35">
      <c r="A421" t="s">
        <v>1196</v>
      </c>
      <c r="B421" t="s">
        <v>42</v>
      </c>
      <c r="C421" t="s">
        <v>61</v>
      </c>
      <c r="D421">
        <v>245.42</v>
      </c>
      <c r="E421">
        <v>5</v>
      </c>
      <c r="F421" s="6">
        <v>19.23</v>
      </c>
      <c r="G421" s="4">
        <v>99.12</v>
      </c>
      <c r="H421" t="s">
        <v>462</v>
      </c>
      <c r="I421" t="s">
        <v>1197</v>
      </c>
      <c r="J421" t="s">
        <v>1198</v>
      </c>
    </row>
    <row r="422" spans="1:10" x14ac:dyDescent="0.35">
      <c r="A422" t="s">
        <v>1199</v>
      </c>
      <c r="B422" t="s">
        <v>16</v>
      </c>
      <c r="C422" t="s">
        <v>17</v>
      </c>
      <c r="D422">
        <v>290.91000000000003</v>
      </c>
      <c r="E422">
        <v>3</v>
      </c>
      <c r="F422" s="6">
        <v>8.4499999999999993</v>
      </c>
      <c r="G422" s="4">
        <v>45.23</v>
      </c>
      <c r="H422" t="s">
        <v>1200</v>
      </c>
      <c r="I422" t="s">
        <v>147</v>
      </c>
      <c r="J422" t="s">
        <v>1201</v>
      </c>
    </row>
    <row r="423" spans="1:10" x14ac:dyDescent="0.35">
      <c r="A423" t="s">
        <v>1202</v>
      </c>
      <c r="B423" t="s">
        <v>10</v>
      </c>
      <c r="C423" t="s">
        <v>11</v>
      </c>
      <c r="D423">
        <v>308.07</v>
      </c>
      <c r="E423">
        <v>3</v>
      </c>
      <c r="F423" s="6">
        <v>4.24</v>
      </c>
      <c r="G423" s="4">
        <v>94.75</v>
      </c>
      <c r="H423" t="s">
        <v>650</v>
      </c>
      <c r="I423" t="s">
        <v>29</v>
      </c>
      <c r="J423" t="s">
        <v>1203</v>
      </c>
    </row>
    <row r="424" spans="1:10" x14ac:dyDescent="0.35">
      <c r="A424" t="s">
        <v>1204</v>
      </c>
      <c r="B424" t="s">
        <v>16</v>
      </c>
      <c r="C424" t="s">
        <v>47</v>
      </c>
      <c r="D424">
        <v>377.29</v>
      </c>
      <c r="E424">
        <v>5</v>
      </c>
      <c r="F424" s="6">
        <v>46.63</v>
      </c>
      <c r="G424" s="4">
        <v>49.58</v>
      </c>
      <c r="H424" t="s">
        <v>1205</v>
      </c>
      <c r="I424" t="s">
        <v>124</v>
      </c>
      <c r="J424" t="s">
        <v>1206</v>
      </c>
    </row>
    <row r="425" spans="1:10" x14ac:dyDescent="0.35">
      <c r="A425" t="s">
        <v>1207</v>
      </c>
      <c r="B425" t="s">
        <v>42</v>
      </c>
      <c r="C425" t="s">
        <v>32</v>
      </c>
      <c r="D425">
        <v>460.76</v>
      </c>
      <c r="E425">
        <v>5</v>
      </c>
      <c r="F425" s="6">
        <v>19.239999999999998</v>
      </c>
      <c r="G425" s="4">
        <v>79.94</v>
      </c>
      <c r="H425" t="s">
        <v>326</v>
      </c>
      <c r="I425" t="s">
        <v>1208</v>
      </c>
      <c r="J425" t="s">
        <v>1209</v>
      </c>
    </row>
    <row r="426" spans="1:10" x14ac:dyDescent="0.35">
      <c r="A426" t="s">
        <v>1210</v>
      </c>
      <c r="B426" t="s">
        <v>10</v>
      </c>
      <c r="C426" t="s">
        <v>47</v>
      </c>
      <c r="D426">
        <v>159.25</v>
      </c>
      <c r="E426">
        <v>4</v>
      </c>
      <c r="F426" s="6">
        <v>44.8</v>
      </c>
      <c r="G426" s="4">
        <v>35</v>
      </c>
      <c r="H426" t="s">
        <v>1090</v>
      </c>
      <c r="I426" t="s">
        <v>240</v>
      </c>
      <c r="J426" t="s">
        <v>1211</v>
      </c>
    </row>
    <row r="427" spans="1:10" x14ac:dyDescent="0.35">
      <c r="A427" t="s">
        <v>1212</v>
      </c>
      <c r="B427" t="s">
        <v>16</v>
      </c>
      <c r="C427" t="s">
        <v>37</v>
      </c>
      <c r="D427">
        <v>232.78</v>
      </c>
      <c r="E427">
        <v>3</v>
      </c>
      <c r="F427" s="6">
        <v>39.4</v>
      </c>
      <c r="G427" s="4">
        <v>98.82</v>
      </c>
      <c r="H427" t="s">
        <v>165</v>
      </c>
      <c r="I427" t="s">
        <v>426</v>
      </c>
      <c r="J427" t="s">
        <v>1213</v>
      </c>
    </row>
    <row r="428" spans="1:10" x14ac:dyDescent="0.35">
      <c r="A428" t="s">
        <v>1214</v>
      </c>
      <c r="B428" t="s">
        <v>10</v>
      </c>
      <c r="C428" t="s">
        <v>11</v>
      </c>
      <c r="D428">
        <v>376.06</v>
      </c>
      <c r="E428">
        <v>5</v>
      </c>
      <c r="F428" s="6">
        <v>29.93</v>
      </c>
      <c r="G428" s="4">
        <v>56.29</v>
      </c>
      <c r="H428" t="s">
        <v>519</v>
      </c>
      <c r="I428" t="s">
        <v>469</v>
      </c>
      <c r="J428" t="s">
        <v>1215</v>
      </c>
    </row>
    <row r="429" spans="1:10" x14ac:dyDescent="0.35">
      <c r="A429" t="s">
        <v>1216</v>
      </c>
      <c r="B429" t="s">
        <v>42</v>
      </c>
      <c r="C429" t="s">
        <v>17</v>
      </c>
      <c r="D429">
        <v>489.12</v>
      </c>
      <c r="E429">
        <v>4</v>
      </c>
      <c r="F429" s="6">
        <v>24.09</v>
      </c>
      <c r="G429" s="4">
        <v>41.24</v>
      </c>
      <c r="H429" t="s">
        <v>834</v>
      </c>
      <c r="I429" t="s">
        <v>263</v>
      </c>
      <c r="J429" t="s">
        <v>1217</v>
      </c>
    </row>
    <row r="430" spans="1:10" x14ac:dyDescent="0.35">
      <c r="A430" t="s">
        <v>1218</v>
      </c>
      <c r="B430" t="s">
        <v>16</v>
      </c>
      <c r="C430" t="s">
        <v>61</v>
      </c>
      <c r="D430">
        <v>386.86</v>
      </c>
      <c r="E430">
        <v>4</v>
      </c>
      <c r="F430" s="6">
        <v>46.7</v>
      </c>
      <c r="G430" s="4">
        <v>30.7</v>
      </c>
      <c r="H430" t="s">
        <v>693</v>
      </c>
      <c r="I430" t="s">
        <v>1219</v>
      </c>
      <c r="J430" t="s">
        <v>1220</v>
      </c>
    </row>
    <row r="431" spans="1:10" x14ac:dyDescent="0.35">
      <c r="A431" t="s">
        <v>1221</v>
      </c>
      <c r="B431" t="s">
        <v>10</v>
      </c>
      <c r="C431" t="s">
        <v>56</v>
      </c>
      <c r="D431">
        <v>168.03</v>
      </c>
      <c r="E431">
        <v>3</v>
      </c>
      <c r="F431" s="6">
        <v>40.94</v>
      </c>
      <c r="G431" s="4">
        <v>21.24</v>
      </c>
      <c r="H431" t="s">
        <v>151</v>
      </c>
      <c r="I431" t="s">
        <v>910</v>
      </c>
      <c r="J431" t="s">
        <v>1222</v>
      </c>
    </row>
    <row r="432" spans="1:10" x14ac:dyDescent="0.35">
      <c r="A432" t="s">
        <v>1223</v>
      </c>
      <c r="B432" t="s">
        <v>16</v>
      </c>
      <c r="C432" t="s">
        <v>61</v>
      </c>
      <c r="D432">
        <v>248.11</v>
      </c>
      <c r="E432">
        <v>4</v>
      </c>
      <c r="F432" s="6">
        <v>13.37</v>
      </c>
      <c r="G432" s="4">
        <v>17.78</v>
      </c>
      <c r="H432" t="s">
        <v>604</v>
      </c>
      <c r="I432" t="s">
        <v>809</v>
      </c>
      <c r="J432" t="s">
        <v>1224</v>
      </c>
    </row>
    <row r="433" spans="1:10" x14ac:dyDescent="0.35">
      <c r="A433" t="s">
        <v>1225</v>
      </c>
      <c r="B433" t="s">
        <v>10</v>
      </c>
      <c r="C433" t="s">
        <v>11</v>
      </c>
      <c r="D433">
        <v>361.43</v>
      </c>
      <c r="E433">
        <v>5</v>
      </c>
      <c r="F433" s="6">
        <v>32.1</v>
      </c>
      <c r="G433" s="4">
        <v>71.010000000000005</v>
      </c>
      <c r="H433" t="s">
        <v>699</v>
      </c>
      <c r="I433" t="s">
        <v>199</v>
      </c>
      <c r="J433" t="s">
        <v>1226</v>
      </c>
    </row>
    <row r="434" spans="1:10" x14ac:dyDescent="0.35">
      <c r="A434" t="s">
        <v>1227</v>
      </c>
      <c r="B434" t="s">
        <v>42</v>
      </c>
      <c r="C434" t="s">
        <v>89</v>
      </c>
      <c r="D434">
        <v>358.35</v>
      </c>
      <c r="E434">
        <v>3</v>
      </c>
      <c r="F434" s="6">
        <v>21.31</v>
      </c>
      <c r="G434" s="4">
        <v>91.1</v>
      </c>
      <c r="H434" t="s">
        <v>220</v>
      </c>
      <c r="I434" t="s">
        <v>581</v>
      </c>
      <c r="J434" t="s">
        <v>1228</v>
      </c>
    </row>
    <row r="435" spans="1:10" x14ac:dyDescent="0.35">
      <c r="A435" t="s">
        <v>1229</v>
      </c>
      <c r="B435" t="s">
        <v>10</v>
      </c>
      <c r="C435" t="s">
        <v>17</v>
      </c>
      <c r="D435">
        <v>374.78</v>
      </c>
      <c r="E435">
        <v>5</v>
      </c>
      <c r="F435" s="6">
        <v>19.149999999999999</v>
      </c>
      <c r="G435" s="4">
        <v>12.11</v>
      </c>
      <c r="H435" t="s">
        <v>633</v>
      </c>
      <c r="I435" t="s">
        <v>658</v>
      </c>
      <c r="J435" t="s">
        <v>1230</v>
      </c>
    </row>
    <row r="436" spans="1:10" x14ac:dyDescent="0.35">
      <c r="A436" t="s">
        <v>1231</v>
      </c>
      <c r="B436" t="s">
        <v>10</v>
      </c>
      <c r="C436" t="s">
        <v>11</v>
      </c>
      <c r="D436">
        <v>399.27</v>
      </c>
      <c r="E436">
        <v>3</v>
      </c>
      <c r="F436" s="6">
        <v>7.23</v>
      </c>
      <c r="G436" s="4">
        <v>88.93</v>
      </c>
      <c r="H436" t="s">
        <v>797</v>
      </c>
      <c r="I436" t="s">
        <v>1232</v>
      </c>
      <c r="J436" t="s">
        <v>250</v>
      </c>
    </row>
    <row r="437" spans="1:10" x14ac:dyDescent="0.35">
      <c r="A437" t="s">
        <v>1233</v>
      </c>
      <c r="B437" t="s">
        <v>42</v>
      </c>
      <c r="C437" t="s">
        <v>22</v>
      </c>
      <c r="D437">
        <v>90.24</v>
      </c>
      <c r="E437">
        <v>5</v>
      </c>
      <c r="F437" s="6">
        <v>16.2</v>
      </c>
      <c r="G437" s="4">
        <v>60.19</v>
      </c>
      <c r="H437" t="s">
        <v>1234</v>
      </c>
      <c r="I437" t="s">
        <v>593</v>
      </c>
      <c r="J437" t="s">
        <v>1235</v>
      </c>
    </row>
    <row r="438" spans="1:10" x14ac:dyDescent="0.35">
      <c r="A438" t="s">
        <v>1236</v>
      </c>
      <c r="B438" t="s">
        <v>16</v>
      </c>
      <c r="C438" t="s">
        <v>27</v>
      </c>
      <c r="D438">
        <v>408.4</v>
      </c>
      <c r="E438">
        <v>4</v>
      </c>
      <c r="F438" s="6">
        <v>21.77</v>
      </c>
      <c r="G438" s="4">
        <v>27.59</v>
      </c>
      <c r="H438" t="s">
        <v>578</v>
      </c>
      <c r="I438" t="s">
        <v>1047</v>
      </c>
      <c r="J438" t="s">
        <v>1237</v>
      </c>
    </row>
    <row r="439" spans="1:10" x14ac:dyDescent="0.35">
      <c r="A439" t="s">
        <v>1238</v>
      </c>
      <c r="B439" t="s">
        <v>16</v>
      </c>
      <c r="C439" t="s">
        <v>56</v>
      </c>
      <c r="D439">
        <v>211.06</v>
      </c>
      <c r="E439">
        <v>5</v>
      </c>
      <c r="F439" s="6">
        <v>15.94</v>
      </c>
      <c r="G439" s="4">
        <v>65.67</v>
      </c>
      <c r="H439" t="s">
        <v>1192</v>
      </c>
      <c r="I439" t="s">
        <v>507</v>
      </c>
      <c r="J439" t="s">
        <v>1239</v>
      </c>
    </row>
    <row r="440" spans="1:10" x14ac:dyDescent="0.35">
      <c r="A440" t="s">
        <v>1240</v>
      </c>
      <c r="B440" t="s">
        <v>16</v>
      </c>
      <c r="C440" t="s">
        <v>22</v>
      </c>
      <c r="D440">
        <v>236.47</v>
      </c>
      <c r="E440">
        <v>5</v>
      </c>
      <c r="F440" s="6">
        <v>7.59</v>
      </c>
      <c r="G440" s="4">
        <v>32.11</v>
      </c>
      <c r="H440" t="s">
        <v>256</v>
      </c>
      <c r="I440" t="s">
        <v>263</v>
      </c>
      <c r="J440" t="s">
        <v>1241</v>
      </c>
    </row>
    <row r="441" spans="1:10" x14ac:dyDescent="0.35">
      <c r="A441" t="s">
        <v>1242</v>
      </c>
      <c r="B441" t="s">
        <v>10</v>
      </c>
      <c r="C441" t="s">
        <v>89</v>
      </c>
      <c r="D441">
        <v>379.17</v>
      </c>
      <c r="E441">
        <v>4</v>
      </c>
      <c r="F441" s="6">
        <v>0.98</v>
      </c>
      <c r="G441" s="4">
        <v>100</v>
      </c>
      <c r="H441" t="s">
        <v>1243</v>
      </c>
      <c r="I441" t="s">
        <v>74</v>
      </c>
      <c r="J441" t="s">
        <v>1244</v>
      </c>
    </row>
    <row r="442" spans="1:10" x14ac:dyDescent="0.35">
      <c r="A442" t="s">
        <v>1245</v>
      </c>
      <c r="B442" t="s">
        <v>10</v>
      </c>
      <c r="C442" t="s">
        <v>32</v>
      </c>
      <c r="D442">
        <v>76.349999999999994</v>
      </c>
      <c r="E442">
        <v>5</v>
      </c>
      <c r="F442" s="6">
        <v>25.18</v>
      </c>
      <c r="G442" s="4">
        <v>14.72</v>
      </c>
      <c r="H442" t="s">
        <v>237</v>
      </c>
      <c r="I442" t="s">
        <v>358</v>
      </c>
      <c r="J442" t="s">
        <v>1246</v>
      </c>
    </row>
    <row r="443" spans="1:10" x14ac:dyDescent="0.35">
      <c r="A443" t="s">
        <v>1247</v>
      </c>
      <c r="B443" t="s">
        <v>42</v>
      </c>
      <c r="C443" t="s">
        <v>37</v>
      </c>
      <c r="D443">
        <v>69.48</v>
      </c>
      <c r="E443">
        <v>5</v>
      </c>
      <c r="F443" s="6">
        <v>34.07</v>
      </c>
      <c r="G443" s="4">
        <v>50.27</v>
      </c>
      <c r="H443" t="s">
        <v>38</v>
      </c>
      <c r="I443" t="s">
        <v>765</v>
      </c>
      <c r="J443" t="s">
        <v>1248</v>
      </c>
    </row>
    <row r="444" spans="1:10" x14ac:dyDescent="0.35">
      <c r="A444" t="s">
        <v>1249</v>
      </c>
      <c r="B444" t="s">
        <v>10</v>
      </c>
      <c r="C444" t="s">
        <v>11</v>
      </c>
      <c r="D444">
        <v>158.72999999999999</v>
      </c>
      <c r="E444">
        <v>3</v>
      </c>
      <c r="F444" s="6">
        <v>25.96</v>
      </c>
      <c r="G444" s="4">
        <v>20.149999999999999</v>
      </c>
      <c r="H444" t="s">
        <v>650</v>
      </c>
      <c r="I444" t="s">
        <v>917</v>
      </c>
      <c r="J444" t="s">
        <v>1250</v>
      </c>
    </row>
    <row r="445" spans="1:10" x14ac:dyDescent="0.35">
      <c r="A445" t="s">
        <v>1251</v>
      </c>
      <c r="B445" t="s">
        <v>42</v>
      </c>
      <c r="C445" t="s">
        <v>47</v>
      </c>
      <c r="D445">
        <v>255.87</v>
      </c>
      <c r="E445">
        <v>3</v>
      </c>
      <c r="F445" s="6">
        <v>28</v>
      </c>
      <c r="G445" s="4">
        <v>23.88</v>
      </c>
      <c r="H445" t="s">
        <v>1252</v>
      </c>
      <c r="I445" t="s">
        <v>768</v>
      </c>
      <c r="J445" t="s">
        <v>1253</v>
      </c>
    </row>
    <row r="446" spans="1:10" x14ac:dyDescent="0.35">
      <c r="A446" t="s">
        <v>1254</v>
      </c>
      <c r="B446" t="s">
        <v>16</v>
      </c>
      <c r="C446" t="s">
        <v>61</v>
      </c>
      <c r="D446">
        <v>81.66</v>
      </c>
      <c r="E446">
        <v>5</v>
      </c>
      <c r="F446" s="6">
        <v>23.03</v>
      </c>
      <c r="G446" s="4">
        <v>63.14</v>
      </c>
      <c r="H446" t="s">
        <v>383</v>
      </c>
      <c r="I446" t="s">
        <v>507</v>
      </c>
      <c r="J446" t="s">
        <v>1255</v>
      </c>
    </row>
    <row r="447" spans="1:10" x14ac:dyDescent="0.35">
      <c r="A447" t="s">
        <v>1256</v>
      </c>
      <c r="B447" t="s">
        <v>16</v>
      </c>
      <c r="C447" t="s">
        <v>89</v>
      </c>
      <c r="D447">
        <v>117.56</v>
      </c>
      <c r="E447">
        <v>3</v>
      </c>
      <c r="F447" s="6">
        <v>29.14</v>
      </c>
      <c r="G447" s="4">
        <v>67.63</v>
      </c>
      <c r="H447" t="s">
        <v>236</v>
      </c>
      <c r="I447" t="s">
        <v>934</v>
      </c>
      <c r="J447" t="s">
        <v>1257</v>
      </c>
    </row>
    <row r="448" spans="1:10" x14ac:dyDescent="0.35">
      <c r="A448" t="s">
        <v>1258</v>
      </c>
      <c r="B448" t="s">
        <v>10</v>
      </c>
      <c r="C448" t="s">
        <v>32</v>
      </c>
      <c r="D448">
        <v>496.11</v>
      </c>
      <c r="E448">
        <v>5</v>
      </c>
      <c r="F448" s="6">
        <v>35.659999999999997</v>
      </c>
      <c r="G448" s="4">
        <v>75.89</v>
      </c>
      <c r="H448" t="s">
        <v>883</v>
      </c>
      <c r="I448" t="s">
        <v>57</v>
      </c>
      <c r="J448" t="s">
        <v>1259</v>
      </c>
    </row>
    <row r="449" spans="1:10" x14ac:dyDescent="0.35">
      <c r="A449" t="s">
        <v>1260</v>
      </c>
      <c r="B449" t="s">
        <v>42</v>
      </c>
      <c r="C449" t="s">
        <v>11</v>
      </c>
      <c r="D449">
        <v>84.34</v>
      </c>
      <c r="E449">
        <v>3</v>
      </c>
      <c r="F449" s="6">
        <v>10.050000000000001</v>
      </c>
      <c r="G449" s="4">
        <v>75.42</v>
      </c>
      <c r="H449" t="s">
        <v>1261</v>
      </c>
      <c r="I449" t="s">
        <v>151</v>
      </c>
      <c r="J449" t="s">
        <v>1262</v>
      </c>
    </row>
    <row r="450" spans="1:10" x14ac:dyDescent="0.35">
      <c r="A450" t="s">
        <v>1263</v>
      </c>
      <c r="B450" t="s">
        <v>42</v>
      </c>
      <c r="C450" t="s">
        <v>11</v>
      </c>
      <c r="D450">
        <v>155.38</v>
      </c>
      <c r="E450">
        <v>5</v>
      </c>
      <c r="F450" s="6">
        <v>9.69</v>
      </c>
      <c r="G450" s="4">
        <v>17.53</v>
      </c>
      <c r="H450" t="s">
        <v>513</v>
      </c>
      <c r="I450" t="s">
        <v>326</v>
      </c>
      <c r="J450" t="s">
        <v>1264</v>
      </c>
    </row>
    <row r="451" spans="1:10" x14ac:dyDescent="0.35">
      <c r="A451" t="s">
        <v>1265</v>
      </c>
      <c r="B451" t="s">
        <v>42</v>
      </c>
      <c r="C451" t="s">
        <v>17</v>
      </c>
      <c r="D451">
        <v>257.99</v>
      </c>
      <c r="E451">
        <v>5</v>
      </c>
      <c r="F451" s="6">
        <v>13.94</v>
      </c>
      <c r="G451" s="4">
        <v>47.12</v>
      </c>
      <c r="H451" t="s">
        <v>1266</v>
      </c>
      <c r="I451" t="s">
        <v>1267</v>
      </c>
      <c r="J451" t="s">
        <v>1268</v>
      </c>
    </row>
    <row r="452" spans="1:10" x14ac:dyDescent="0.35">
      <c r="A452" t="s">
        <v>1269</v>
      </c>
      <c r="B452" t="s">
        <v>16</v>
      </c>
      <c r="C452" t="s">
        <v>47</v>
      </c>
      <c r="D452">
        <v>153.02000000000001</v>
      </c>
      <c r="E452">
        <v>4</v>
      </c>
      <c r="F452" s="6">
        <v>25.98</v>
      </c>
      <c r="G452" s="4">
        <v>25.8</v>
      </c>
      <c r="H452" t="s">
        <v>171</v>
      </c>
      <c r="I452" t="s">
        <v>158</v>
      </c>
      <c r="J452" t="s">
        <v>1270</v>
      </c>
    </row>
    <row r="453" spans="1:10" x14ac:dyDescent="0.35">
      <c r="A453" t="s">
        <v>1271</v>
      </c>
      <c r="B453" t="s">
        <v>16</v>
      </c>
      <c r="C453" t="s">
        <v>11</v>
      </c>
      <c r="D453">
        <v>67.39</v>
      </c>
      <c r="E453">
        <v>4</v>
      </c>
      <c r="F453" s="6">
        <v>10.79</v>
      </c>
      <c r="G453" s="4">
        <v>40.409999999999997</v>
      </c>
      <c r="H453" t="s">
        <v>750</v>
      </c>
      <c r="I453" t="s">
        <v>1272</v>
      </c>
      <c r="J453" t="s">
        <v>1273</v>
      </c>
    </row>
    <row r="454" spans="1:10" x14ac:dyDescent="0.35">
      <c r="A454" t="s">
        <v>1274</v>
      </c>
      <c r="B454" t="s">
        <v>10</v>
      </c>
      <c r="C454" t="s">
        <v>11</v>
      </c>
      <c r="D454">
        <v>286.31</v>
      </c>
      <c r="E454">
        <v>5</v>
      </c>
      <c r="F454" s="6">
        <v>37.51</v>
      </c>
      <c r="G454" s="4">
        <v>62.82</v>
      </c>
      <c r="H454" t="s">
        <v>49</v>
      </c>
      <c r="I454" t="s">
        <v>787</v>
      </c>
      <c r="J454" t="s">
        <v>1275</v>
      </c>
    </row>
    <row r="455" spans="1:10" x14ac:dyDescent="0.35">
      <c r="A455" t="s">
        <v>1276</v>
      </c>
      <c r="B455" t="s">
        <v>10</v>
      </c>
      <c r="C455" t="s">
        <v>61</v>
      </c>
      <c r="D455">
        <v>332.01</v>
      </c>
      <c r="E455">
        <v>4</v>
      </c>
      <c r="F455" s="6">
        <v>4.38</v>
      </c>
      <c r="G455" s="4">
        <v>49.59</v>
      </c>
      <c r="H455" t="s">
        <v>522</v>
      </c>
      <c r="I455" t="s">
        <v>438</v>
      </c>
      <c r="J455" t="s">
        <v>1277</v>
      </c>
    </row>
    <row r="456" spans="1:10" x14ac:dyDescent="0.35">
      <c r="A456" t="s">
        <v>1278</v>
      </c>
      <c r="B456" t="s">
        <v>10</v>
      </c>
      <c r="C456" t="s">
        <v>27</v>
      </c>
      <c r="D456">
        <v>331.34</v>
      </c>
      <c r="E456">
        <v>3</v>
      </c>
      <c r="F456" s="6">
        <v>49.79</v>
      </c>
      <c r="G456" s="4">
        <v>50.92</v>
      </c>
      <c r="H456" t="s">
        <v>106</v>
      </c>
      <c r="I456" t="s">
        <v>284</v>
      </c>
      <c r="J456" t="s">
        <v>1279</v>
      </c>
    </row>
    <row r="457" spans="1:10" x14ac:dyDescent="0.35">
      <c r="A457" t="s">
        <v>1280</v>
      </c>
      <c r="B457" t="s">
        <v>16</v>
      </c>
      <c r="C457" t="s">
        <v>89</v>
      </c>
      <c r="D457">
        <v>314.49</v>
      </c>
      <c r="E457">
        <v>3</v>
      </c>
      <c r="F457" s="6">
        <v>28.22</v>
      </c>
      <c r="G457" s="4">
        <v>26.25</v>
      </c>
      <c r="H457" t="s">
        <v>205</v>
      </c>
      <c r="I457" t="s">
        <v>536</v>
      </c>
      <c r="J457" t="s">
        <v>1281</v>
      </c>
    </row>
    <row r="458" spans="1:10" x14ac:dyDescent="0.35">
      <c r="A458" t="s">
        <v>1282</v>
      </c>
      <c r="B458" t="s">
        <v>16</v>
      </c>
      <c r="C458" t="s">
        <v>17</v>
      </c>
      <c r="D458">
        <v>343.89</v>
      </c>
      <c r="E458">
        <v>5</v>
      </c>
      <c r="F458" s="6">
        <v>0.91</v>
      </c>
      <c r="G458" s="4">
        <v>58.79</v>
      </c>
      <c r="H458" t="s">
        <v>960</v>
      </c>
      <c r="I458" t="s">
        <v>610</v>
      </c>
      <c r="J458" t="s">
        <v>1283</v>
      </c>
    </row>
    <row r="459" spans="1:10" x14ac:dyDescent="0.35">
      <c r="A459" t="s">
        <v>1284</v>
      </c>
      <c r="B459" t="s">
        <v>10</v>
      </c>
      <c r="C459" t="s">
        <v>11</v>
      </c>
      <c r="D459">
        <v>440.28</v>
      </c>
      <c r="E459">
        <v>3</v>
      </c>
      <c r="F459" s="6">
        <v>16.37</v>
      </c>
      <c r="G459" s="4">
        <v>84.71</v>
      </c>
      <c r="H459" t="s">
        <v>186</v>
      </c>
      <c r="I459" t="s">
        <v>206</v>
      </c>
      <c r="J459" t="s">
        <v>1285</v>
      </c>
    </row>
    <row r="460" spans="1:10" x14ac:dyDescent="0.35">
      <c r="A460" t="s">
        <v>1286</v>
      </c>
      <c r="B460" t="s">
        <v>16</v>
      </c>
      <c r="C460" t="s">
        <v>47</v>
      </c>
      <c r="D460">
        <v>303.52999999999997</v>
      </c>
      <c r="E460">
        <v>3</v>
      </c>
      <c r="F460" s="6">
        <v>15.79</v>
      </c>
      <c r="G460" s="4">
        <v>98.9</v>
      </c>
      <c r="H460" t="s">
        <v>377</v>
      </c>
      <c r="I460" t="s">
        <v>1047</v>
      </c>
      <c r="J460" t="s">
        <v>1287</v>
      </c>
    </row>
    <row r="461" spans="1:10" x14ac:dyDescent="0.35">
      <c r="A461" t="s">
        <v>1288</v>
      </c>
      <c r="B461" t="s">
        <v>16</v>
      </c>
      <c r="C461" t="s">
        <v>37</v>
      </c>
      <c r="D461">
        <v>87.84</v>
      </c>
      <c r="E461">
        <v>4</v>
      </c>
      <c r="F461" s="6">
        <v>10.87</v>
      </c>
      <c r="G461" s="4">
        <v>78.400000000000006</v>
      </c>
      <c r="H461" t="s">
        <v>480</v>
      </c>
      <c r="I461" t="s">
        <v>237</v>
      </c>
      <c r="J461" t="s">
        <v>1289</v>
      </c>
    </row>
    <row r="462" spans="1:10" x14ac:dyDescent="0.35">
      <c r="A462" t="s">
        <v>1290</v>
      </c>
      <c r="B462" t="s">
        <v>16</v>
      </c>
      <c r="C462" t="s">
        <v>27</v>
      </c>
      <c r="D462">
        <v>435.49</v>
      </c>
      <c r="E462">
        <v>3</v>
      </c>
      <c r="F462" s="6">
        <v>2.27</v>
      </c>
      <c r="G462" s="4">
        <v>85.77</v>
      </c>
      <c r="H462" t="s">
        <v>241</v>
      </c>
      <c r="I462" t="s">
        <v>315</v>
      </c>
      <c r="J462" t="s">
        <v>1291</v>
      </c>
    </row>
    <row r="463" spans="1:10" x14ac:dyDescent="0.35">
      <c r="A463" t="s">
        <v>1292</v>
      </c>
      <c r="B463" t="s">
        <v>42</v>
      </c>
      <c r="C463" t="s">
        <v>89</v>
      </c>
      <c r="D463">
        <v>476.26</v>
      </c>
      <c r="E463">
        <v>3</v>
      </c>
      <c r="F463" s="6">
        <v>44.84</v>
      </c>
      <c r="G463" s="4">
        <v>59.32</v>
      </c>
      <c r="H463" t="s">
        <v>742</v>
      </c>
      <c r="I463" t="s">
        <v>323</v>
      </c>
      <c r="J463" t="s">
        <v>1293</v>
      </c>
    </row>
    <row r="464" spans="1:10" x14ac:dyDescent="0.35">
      <c r="A464" t="s">
        <v>1294</v>
      </c>
      <c r="B464" t="s">
        <v>16</v>
      </c>
      <c r="C464" t="s">
        <v>11</v>
      </c>
      <c r="D464">
        <v>166.48</v>
      </c>
      <c r="E464">
        <v>5</v>
      </c>
      <c r="F464" s="6">
        <v>18.010000000000002</v>
      </c>
      <c r="G464" s="4">
        <v>26.71</v>
      </c>
      <c r="H464" t="s">
        <v>1197</v>
      </c>
      <c r="I464" t="s">
        <v>1090</v>
      </c>
      <c r="J464" t="s">
        <v>1295</v>
      </c>
    </row>
    <row r="465" spans="1:10" x14ac:dyDescent="0.35">
      <c r="A465" t="s">
        <v>1296</v>
      </c>
      <c r="B465" t="s">
        <v>16</v>
      </c>
      <c r="C465" t="s">
        <v>37</v>
      </c>
      <c r="D465">
        <v>437.81</v>
      </c>
      <c r="E465">
        <v>5</v>
      </c>
      <c r="F465" s="6">
        <v>5.72</v>
      </c>
      <c r="G465" s="4">
        <v>34.020000000000003</v>
      </c>
      <c r="H465" t="s">
        <v>52</v>
      </c>
      <c r="I465" t="s">
        <v>1297</v>
      </c>
      <c r="J465" t="s">
        <v>1298</v>
      </c>
    </row>
    <row r="466" spans="1:10" x14ac:dyDescent="0.35">
      <c r="A466" t="s">
        <v>1299</v>
      </c>
      <c r="B466" t="s">
        <v>10</v>
      </c>
      <c r="C466" t="s">
        <v>61</v>
      </c>
      <c r="D466">
        <v>230.73</v>
      </c>
      <c r="E466">
        <v>5</v>
      </c>
      <c r="F466" s="6">
        <v>46.64</v>
      </c>
      <c r="G466" s="4">
        <v>42.35</v>
      </c>
      <c r="H466" t="s">
        <v>1300</v>
      </c>
      <c r="I466" t="s">
        <v>1301</v>
      </c>
      <c r="J466" t="s">
        <v>1302</v>
      </c>
    </row>
    <row r="467" spans="1:10" x14ac:dyDescent="0.35">
      <c r="A467" t="s">
        <v>1303</v>
      </c>
      <c r="B467" t="s">
        <v>42</v>
      </c>
      <c r="C467" t="s">
        <v>89</v>
      </c>
      <c r="D467">
        <v>257.72000000000003</v>
      </c>
      <c r="E467">
        <v>4</v>
      </c>
      <c r="F467" s="6">
        <v>6.58</v>
      </c>
      <c r="G467" s="4">
        <v>33.18</v>
      </c>
      <c r="H467" t="s">
        <v>420</v>
      </c>
      <c r="I467" t="s">
        <v>1304</v>
      </c>
      <c r="J467" t="s">
        <v>1305</v>
      </c>
    </row>
    <row r="468" spans="1:10" x14ac:dyDescent="0.35">
      <c r="A468" t="s">
        <v>1306</v>
      </c>
      <c r="B468" t="s">
        <v>10</v>
      </c>
      <c r="C468" t="s">
        <v>17</v>
      </c>
      <c r="D468">
        <v>381.22</v>
      </c>
      <c r="E468">
        <v>3</v>
      </c>
      <c r="F468" s="6">
        <v>12.38</v>
      </c>
      <c r="G468" s="4">
        <v>21.9</v>
      </c>
      <c r="H468" t="s">
        <v>338</v>
      </c>
      <c r="I468" t="s">
        <v>572</v>
      </c>
      <c r="J468" t="s">
        <v>1307</v>
      </c>
    </row>
    <row r="469" spans="1:10" x14ac:dyDescent="0.35">
      <c r="A469" t="s">
        <v>1308</v>
      </c>
      <c r="B469" t="s">
        <v>16</v>
      </c>
      <c r="C469" t="s">
        <v>47</v>
      </c>
      <c r="D469">
        <v>231.67</v>
      </c>
      <c r="E469">
        <v>4</v>
      </c>
      <c r="F469" s="6">
        <v>31.54</v>
      </c>
      <c r="G469" s="4">
        <v>60.23</v>
      </c>
      <c r="H469" t="s">
        <v>578</v>
      </c>
      <c r="I469" t="s">
        <v>761</v>
      </c>
      <c r="J469" t="s">
        <v>1309</v>
      </c>
    </row>
    <row r="470" spans="1:10" x14ac:dyDescent="0.35">
      <c r="A470" t="s">
        <v>1310</v>
      </c>
      <c r="B470" t="s">
        <v>42</v>
      </c>
      <c r="C470" t="s">
        <v>11</v>
      </c>
      <c r="D470">
        <v>499.13</v>
      </c>
      <c r="E470">
        <v>3</v>
      </c>
      <c r="F470" s="6">
        <v>45.7</v>
      </c>
      <c r="G470" s="4">
        <v>30.49</v>
      </c>
      <c r="H470" t="s">
        <v>396</v>
      </c>
      <c r="I470" t="s">
        <v>493</v>
      </c>
      <c r="J470" t="s">
        <v>1311</v>
      </c>
    </row>
    <row r="471" spans="1:10" x14ac:dyDescent="0.35">
      <c r="A471" t="s">
        <v>1312</v>
      </c>
      <c r="B471" t="s">
        <v>42</v>
      </c>
      <c r="C471" t="s">
        <v>17</v>
      </c>
      <c r="D471">
        <v>58.71</v>
      </c>
      <c r="E471">
        <v>5</v>
      </c>
      <c r="F471" s="6">
        <v>36.25</v>
      </c>
      <c r="G471" s="4">
        <v>37.15</v>
      </c>
      <c r="H471" t="s">
        <v>898</v>
      </c>
      <c r="I471" t="s">
        <v>613</v>
      </c>
      <c r="J471" t="s">
        <v>1313</v>
      </c>
    </row>
    <row r="472" spans="1:10" x14ac:dyDescent="0.35">
      <c r="A472" t="s">
        <v>1314</v>
      </c>
      <c r="B472" t="s">
        <v>16</v>
      </c>
      <c r="C472" t="s">
        <v>17</v>
      </c>
      <c r="D472">
        <v>441.25</v>
      </c>
      <c r="E472">
        <v>5</v>
      </c>
      <c r="F472" s="6">
        <v>5.8</v>
      </c>
      <c r="G472" s="4">
        <v>91.41</v>
      </c>
      <c r="H472" t="s">
        <v>217</v>
      </c>
      <c r="I472" t="s">
        <v>490</v>
      </c>
      <c r="J472" t="s">
        <v>1315</v>
      </c>
    </row>
    <row r="473" spans="1:10" x14ac:dyDescent="0.35">
      <c r="A473" t="s">
        <v>1316</v>
      </c>
      <c r="B473" t="s">
        <v>16</v>
      </c>
      <c r="C473" t="s">
        <v>11</v>
      </c>
      <c r="D473">
        <v>265.27</v>
      </c>
      <c r="E473">
        <v>4</v>
      </c>
      <c r="F473" s="6">
        <v>46.41</v>
      </c>
      <c r="G473" s="4">
        <v>74.260000000000005</v>
      </c>
      <c r="H473" t="s">
        <v>1317</v>
      </c>
      <c r="I473" t="s">
        <v>121</v>
      </c>
      <c r="J473" t="s">
        <v>1318</v>
      </c>
    </row>
    <row r="474" spans="1:10" x14ac:dyDescent="0.35">
      <c r="A474" t="s">
        <v>1319</v>
      </c>
      <c r="B474" t="s">
        <v>42</v>
      </c>
      <c r="C474" t="s">
        <v>17</v>
      </c>
      <c r="D474">
        <v>400.21</v>
      </c>
      <c r="E474">
        <v>4</v>
      </c>
      <c r="F474" s="6">
        <v>23.66</v>
      </c>
      <c r="G474" s="4">
        <v>89.4</v>
      </c>
      <c r="H474" t="s">
        <v>168</v>
      </c>
      <c r="I474" t="s">
        <v>1261</v>
      </c>
      <c r="J474" t="s">
        <v>1320</v>
      </c>
    </row>
    <row r="475" spans="1:10" x14ac:dyDescent="0.35">
      <c r="A475" t="s">
        <v>1321</v>
      </c>
      <c r="B475" t="s">
        <v>10</v>
      </c>
      <c r="C475" t="s">
        <v>11</v>
      </c>
      <c r="D475">
        <v>260.3</v>
      </c>
      <c r="E475">
        <v>5</v>
      </c>
      <c r="F475" s="6">
        <v>3.73</v>
      </c>
      <c r="G475" s="4">
        <v>55.63</v>
      </c>
      <c r="H475" t="s">
        <v>318</v>
      </c>
      <c r="I475" t="s">
        <v>742</v>
      </c>
      <c r="J475" t="s">
        <v>1322</v>
      </c>
    </row>
    <row r="476" spans="1:10" x14ac:dyDescent="0.35">
      <c r="A476" t="s">
        <v>1323</v>
      </c>
      <c r="B476" t="s">
        <v>10</v>
      </c>
      <c r="C476" t="s">
        <v>27</v>
      </c>
      <c r="D476">
        <v>95.94</v>
      </c>
      <c r="E476">
        <v>5</v>
      </c>
      <c r="F476" s="6">
        <v>43.33</v>
      </c>
      <c r="G476" s="4">
        <v>30.43</v>
      </c>
      <c r="H476" t="s">
        <v>978</v>
      </c>
      <c r="I476" t="s">
        <v>288</v>
      </c>
      <c r="J476" t="s">
        <v>1324</v>
      </c>
    </row>
    <row r="477" spans="1:10" x14ac:dyDescent="0.35">
      <c r="A477" t="s">
        <v>1325</v>
      </c>
      <c r="B477" t="s">
        <v>10</v>
      </c>
      <c r="C477" t="s">
        <v>11</v>
      </c>
      <c r="D477">
        <v>460.62</v>
      </c>
      <c r="E477">
        <v>4</v>
      </c>
      <c r="F477" s="6">
        <v>15.61</v>
      </c>
      <c r="G477" s="4">
        <v>10.59</v>
      </c>
      <c r="H477" t="s">
        <v>530</v>
      </c>
      <c r="I477" t="s">
        <v>624</v>
      </c>
      <c r="J477" t="s">
        <v>1326</v>
      </c>
    </row>
    <row r="478" spans="1:10" x14ac:dyDescent="0.35">
      <c r="A478" t="s">
        <v>1327</v>
      </c>
      <c r="B478" t="s">
        <v>10</v>
      </c>
      <c r="C478" t="s">
        <v>32</v>
      </c>
      <c r="D478">
        <v>428.48</v>
      </c>
      <c r="E478">
        <v>4</v>
      </c>
      <c r="F478" s="6">
        <v>8.8800000000000008</v>
      </c>
      <c r="G478" s="4">
        <v>96.05</v>
      </c>
      <c r="H478" t="s">
        <v>1328</v>
      </c>
      <c r="I478" t="s">
        <v>438</v>
      </c>
      <c r="J478" t="s">
        <v>1329</v>
      </c>
    </row>
    <row r="479" spans="1:10" x14ac:dyDescent="0.35">
      <c r="A479" t="s">
        <v>1330</v>
      </c>
      <c r="B479" t="s">
        <v>16</v>
      </c>
      <c r="C479" t="s">
        <v>47</v>
      </c>
      <c r="D479">
        <v>191.92</v>
      </c>
      <c r="E479">
        <v>4</v>
      </c>
      <c r="F479" s="6">
        <v>2.52</v>
      </c>
      <c r="G479" s="4">
        <v>39.299999999999997</v>
      </c>
      <c r="H479" t="s">
        <v>883</v>
      </c>
      <c r="I479" t="s">
        <v>221</v>
      </c>
      <c r="J479" t="s">
        <v>1331</v>
      </c>
    </row>
    <row r="480" spans="1:10" x14ac:dyDescent="0.35">
      <c r="A480" t="s">
        <v>1332</v>
      </c>
      <c r="B480" t="s">
        <v>42</v>
      </c>
      <c r="C480" t="s">
        <v>89</v>
      </c>
      <c r="D480">
        <v>107.18</v>
      </c>
      <c r="E480">
        <v>4</v>
      </c>
      <c r="F480" s="6">
        <v>14.72</v>
      </c>
      <c r="G480" s="4">
        <v>93.78</v>
      </c>
      <c r="H480" t="s">
        <v>589</v>
      </c>
      <c r="I480" t="s">
        <v>784</v>
      </c>
      <c r="J480" t="s">
        <v>1333</v>
      </c>
    </row>
    <row r="481" spans="1:10" x14ac:dyDescent="0.35">
      <c r="A481" t="s">
        <v>1334</v>
      </c>
      <c r="B481" t="s">
        <v>16</v>
      </c>
      <c r="C481" t="s">
        <v>27</v>
      </c>
      <c r="D481">
        <v>167.41</v>
      </c>
      <c r="E481">
        <v>3</v>
      </c>
      <c r="F481" s="6">
        <v>0.4</v>
      </c>
      <c r="G481" s="4">
        <v>25.1</v>
      </c>
      <c r="H481" t="s">
        <v>79</v>
      </c>
      <c r="I481" t="s">
        <v>280</v>
      </c>
      <c r="J481" t="s">
        <v>1335</v>
      </c>
    </row>
    <row r="482" spans="1:10" x14ac:dyDescent="0.35">
      <c r="A482" t="s">
        <v>1336</v>
      </c>
      <c r="B482" t="s">
        <v>10</v>
      </c>
      <c r="C482" t="s">
        <v>32</v>
      </c>
      <c r="D482">
        <v>472.43</v>
      </c>
      <c r="E482">
        <v>5</v>
      </c>
      <c r="F482" s="6">
        <v>40</v>
      </c>
      <c r="G482" s="4">
        <v>32.99</v>
      </c>
      <c r="H482" t="s">
        <v>244</v>
      </c>
      <c r="I482" t="s">
        <v>396</v>
      </c>
      <c r="J482" t="s">
        <v>1337</v>
      </c>
    </row>
    <row r="483" spans="1:10" x14ac:dyDescent="0.35">
      <c r="A483" t="s">
        <v>1338</v>
      </c>
      <c r="B483" t="s">
        <v>42</v>
      </c>
      <c r="C483" t="s">
        <v>61</v>
      </c>
      <c r="D483">
        <v>85.46</v>
      </c>
      <c r="E483">
        <v>3</v>
      </c>
      <c r="F483" s="6">
        <v>12.95</v>
      </c>
      <c r="G483" s="4">
        <v>70.84</v>
      </c>
      <c r="H483" t="s">
        <v>1200</v>
      </c>
      <c r="I483" t="s">
        <v>196</v>
      </c>
      <c r="J483" t="s">
        <v>1339</v>
      </c>
    </row>
    <row r="484" spans="1:10" x14ac:dyDescent="0.35">
      <c r="A484" t="s">
        <v>1340</v>
      </c>
      <c r="B484" t="s">
        <v>16</v>
      </c>
      <c r="C484" t="s">
        <v>47</v>
      </c>
      <c r="D484">
        <v>107.95</v>
      </c>
      <c r="E484">
        <v>5</v>
      </c>
      <c r="F484" s="6">
        <v>49.25</v>
      </c>
      <c r="G484" s="4">
        <v>59.38</v>
      </c>
      <c r="H484" t="s">
        <v>1266</v>
      </c>
      <c r="I484" t="s">
        <v>948</v>
      </c>
      <c r="J484" t="s">
        <v>1341</v>
      </c>
    </row>
    <row r="485" spans="1:10" x14ac:dyDescent="0.35">
      <c r="A485" t="s">
        <v>1342</v>
      </c>
      <c r="B485" t="s">
        <v>16</v>
      </c>
      <c r="C485" t="s">
        <v>22</v>
      </c>
      <c r="D485">
        <v>496.24</v>
      </c>
      <c r="E485">
        <v>3</v>
      </c>
      <c r="F485" s="6">
        <v>30.35</v>
      </c>
      <c r="G485" s="4">
        <v>31.36</v>
      </c>
      <c r="H485" t="s">
        <v>364</v>
      </c>
      <c r="I485" t="s">
        <v>146</v>
      </c>
      <c r="J485" t="s">
        <v>1343</v>
      </c>
    </row>
    <row r="486" spans="1:10" x14ac:dyDescent="0.35">
      <c r="A486" t="s">
        <v>1344</v>
      </c>
      <c r="B486" t="s">
        <v>42</v>
      </c>
      <c r="C486" t="s">
        <v>11</v>
      </c>
      <c r="D486">
        <v>159.31</v>
      </c>
      <c r="E486">
        <v>5</v>
      </c>
      <c r="F486" s="6">
        <v>3</v>
      </c>
      <c r="G486" s="4">
        <v>12.19</v>
      </c>
      <c r="H486" t="s">
        <v>39</v>
      </c>
      <c r="I486" t="s">
        <v>523</v>
      </c>
      <c r="J486" t="s">
        <v>1345</v>
      </c>
    </row>
    <row r="487" spans="1:10" x14ac:dyDescent="0.35">
      <c r="A487" t="s">
        <v>1346</v>
      </c>
      <c r="B487" t="s">
        <v>10</v>
      </c>
      <c r="C487" t="s">
        <v>56</v>
      </c>
      <c r="D487">
        <v>56.67</v>
      </c>
      <c r="E487">
        <v>5</v>
      </c>
      <c r="F487" s="6">
        <v>3.32</v>
      </c>
      <c r="G487" s="4">
        <v>48.17</v>
      </c>
      <c r="H487" t="s">
        <v>114</v>
      </c>
      <c r="I487" t="s">
        <v>300</v>
      </c>
      <c r="J487" t="s">
        <v>1347</v>
      </c>
    </row>
    <row r="488" spans="1:10" x14ac:dyDescent="0.35">
      <c r="A488" t="s">
        <v>1348</v>
      </c>
      <c r="B488" t="s">
        <v>42</v>
      </c>
      <c r="C488" t="s">
        <v>37</v>
      </c>
      <c r="D488">
        <v>212.88</v>
      </c>
      <c r="E488">
        <v>5</v>
      </c>
      <c r="F488" s="6">
        <v>36.700000000000003</v>
      </c>
      <c r="G488" s="4">
        <v>42.61</v>
      </c>
      <c r="H488" t="s">
        <v>125</v>
      </c>
      <c r="I488" t="s">
        <v>94</v>
      </c>
      <c r="J488" t="s">
        <v>1349</v>
      </c>
    </row>
    <row r="489" spans="1:10" x14ac:dyDescent="0.35">
      <c r="A489" t="s">
        <v>1350</v>
      </c>
      <c r="B489" t="s">
        <v>10</v>
      </c>
      <c r="C489" t="s">
        <v>11</v>
      </c>
      <c r="D489">
        <v>261.45999999999998</v>
      </c>
      <c r="E489">
        <v>5</v>
      </c>
      <c r="F489" s="6">
        <v>19.12</v>
      </c>
      <c r="G489" s="4">
        <v>92.34</v>
      </c>
      <c r="H489" t="s">
        <v>910</v>
      </c>
      <c r="I489" t="s">
        <v>546</v>
      </c>
      <c r="J489" t="s">
        <v>1351</v>
      </c>
    </row>
    <row r="490" spans="1:10" x14ac:dyDescent="0.35">
      <c r="A490" t="s">
        <v>1352</v>
      </c>
      <c r="B490" t="s">
        <v>16</v>
      </c>
      <c r="C490" t="s">
        <v>56</v>
      </c>
      <c r="D490">
        <v>307.89</v>
      </c>
      <c r="E490">
        <v>3</v>
      </c>
      <c r="F490" s="6">
        <v>12.5</v>
      </c>
      <c r="G490" s="4">
        <v>50.89</v>
      </c>
      <c r="H490" t="s">
        <v>341</v>
      </c>
      <c r="I490" t="s">
        <v>383</v>
      </c>
      <c r="J490" t="s">
        <v>1353</v>
      </c>
    </row>
    <row r="491" spans="1:10" x14ac:dyDescent="0.35">
      <c r="A491" t="s">
        <v>1354</v>
      </c>
      <c r="B491" t="s">
        <v>10</v>
      </c>
      <c r="C491" t="s">
        <v>22</v>
      </c>
      <c r="D491">
        <v>165.89</v>
      </c>
      <c r="E491">
        <v>4</v>
      </c>
      <c r="F491" s="6">
        <v>10.65</v>
      </c>
      <c r="G491" s="4">
        <v>44.19</v>
      </c>
      <c r="H491" t="s">
        <v>233</v>
      </c>
      <c r="I491" t="s">
        <v>183</v>
      </c>
      <c r="J491" t="s">
        <v>1355</v>
      </c>
    </row>
    <row r="492" spans="1:10" x14ac:dyDescent="0.35">
      <c r="A492" t="s">
        <v>1356</v>
      </c>
      <c r="B492" t="s">
        <v>42</v>
      </c>
      <c r="C492" t="s">
        <v>56</v>
      </c>
      <c r="D492">
        <v>408.31</v>
      </c>
      <c r="E492">
        <v>3</v>
      </c>
      <c r="F492" s="6">
        <v>49.6</v>
      </c>
      <c r="G492" s="4">
        <v>42.69</v>
      </c>
      <c r="H492" t="s">
        <v>497</v>
      </c>
      <c r="I492" t="s">
        <v>429</v>
      </c>
      <c r="J492" t="s">
        <v>1357</v>
      </c>
    </row>
    <row r="493" spans="1:10" x14ac:dyDescent="0.35">
      <c r="A493" t="s">
        <v>1358</v>
      </c>
      <c r="B493" t="s">
        <v>42</v>
      </c>
      <c r="C493" t="s">
        <v>22</v>
      </c>
      <c r="D493">
        <v>127.44</v>
      </c>
      <c r="E493">
        <v>3</v>
      </c>
      <c r="F493" s="6">
        <v>5.99</v>
      </c>
      <c r="G493" s="4">
        <v>87.95</v>
      </c>
      <c r="H493" t="s">
        <v>1317</v>
      </c>
      <c r="I493" t="s">
        <v>438</v>
      </c>
      <c r="J493" t="s">
        <v>1359</v>
      </c>
    </row>
    <row r="494" spans="1:10" x14ac:dyDescent="0.35">
      <c r="A494" t="s">
        <v>1360</v>
      </c>
      <c r="B494" t="s">
        <v>10</v>
      </c>
      <c r="C494" t="s">
        <v>11</v>
      </c>
      <c r="D494">
        <v>480.13</v>
      </c>
      <c r="E494">
        <v>5</v>
      </c>
      <c r="F494" s="6">
        <v>15.71</v>
      </c>
      <c r="G494" s="4">
        <v>88.63</v>
      </c>
      <c r="H494" t="s">
        <v>383</v>
      </c>
      <c r="I494" t="s">
        <v>991</v>
      </c>
      <c r="J494" t="s">
        <v>1361</v>
      </c>
    </row>
    <row r="495" spans="1:10" x14ac:dyDescent="0.35">
      <c r="A495" t="s">
        <v>1362</v>
      </c>
      <c r="B495" t="s">
        <v>16</v>
      </c>
      <c r="C495" t="s">
        <v>17</v>
      </c>
      <c r="D495">
        <v>322.82</v>
      </c>
      <c r="E495">
        <v>5</v>
      </c>
      <c r="F495" s="6">
        <v>30.19</v>
      </c>
      <c r="G495" s="4">
        <v>38.28</v>
      </c>
      <c r="H495" t="s">
        <v>404</v>
      </c>
      <c r="I495" t="s">
        <v>575</v>
      </c>
      <c r="J495" t="s">
        <v>1363</v>
      </c>
    </row>
    <row r="496" spans="1:10" x14ac:dyDescent="0.35">
      <c r="A496" t="s">
        <v>1364</v>
      </c>
      <c r="B496" t="s">
        <v>10</v>
      </c>
      <c r="C496" t="s">
        <v>32</v>
      </c>
      <c r="D496">
        <v>55.68</v>
      </c>
      <c r="E496">
        <v>4</v>
      </c>
      <c r="F496" s="6">
        <v>6.64</v>
      </c>
      <c r="G496" s="4">
        <v>59.31</v>
      </c>
      <c r="H496" t="s">
        <v>708</v>
      </c>
      <c r="I496" t="s">
        <v>377</v>
      </c>
      <c r="J496" t="s">
        <v>1365</v>
      </c>
    </row>
    <row r="497" spans="1:10" x14ac:dyDescent="0.35">
      <c r="A497" t="s">
        <v>1366</v>
      </c>
      <c r="B497" t="s">
        <v>10</v>
      </c>
      <c r="C497" t="s">
        <v>32</v>
      </c>
      <c r="D497">
        <v>64.98</v>
      </c>
      <c r="E497">
        <v>3</v>
      </c>
      <c r="F497" s="6">
        <v>29.41</v>
      </c>
      <c r="G497" s="4">
        <v>46.21</v>
      </c>
      <c r="H497" t="s">
        <v>338</v>
      </c>
      <c r="I497" t="s">
        <v>429</v>
      </c>
      <c r="J497" t="s">
        <v>1367</v>
      </c>
    </row>
    <row r="498" spans="1:10" x14ac:dyDescent="0.35">
      <c r="A498" t="s">
        <v>1368</v>
      </c>
      <c r="B498" t="s">
        <v>10</v>
      </c>
      <c r="C498" t="s">
        <v>37</v>
      </c>
      <c r="D498">
        <v>465.69</v>
      </c>
      <c r="E498">
        <v>5</v>
      </c>
      <c r="F498" s="6">
        <v>47.78</v>
      </c>
      <c r="G498" s="4">
        <v>45.65</v>
      </c>
      <c r="H498" t="s">
        <v>259</v>
      </c>
      <c r="I498" t="s">
        <v>713</v>
      </c>
      <c r="J498" t="s">
        <v>1369</v>
      </c>
    </row>
    <row r="499" spans="1:10" x14ac:dyDescent="0.35">
      <c r="A499" t="s">
        <v>1370</v>
      </c>
      <c r="B499" t="s">
        <v>42</v>
      </c>
      <c r="C499" t="s">
        <v>11</v>
      </c>
      <c r="D499">
        <v>131.97</v>
      </c>
      <c r="E499">
        <v>3</v>
      </c>
      <c r="F499" s="6">
        <v>13.15</v>
      </c>
      <c r="G499" s="4">
        <v>73.62</v>
      </c>
      <c r="H499" t="s">
        <v>248</v>
      </c>
      <c r="I499" t="s">
        <v>484</v>
      </c>
      <c r="J499" t="s">
        <v>1371</v>
      </c>
    </row>
    <row r="500" spans="1:10" x14ac:dyDescent="0.35">
      <c r="A500" t="s">
        <v>1372</v>
      </c>
      <c r="B500" t="s">
        <v>42</v>
      </c>
      <c r="C500" t="s">
        <v>11</v>
      </c>
      <c r="D500">
        <v>296.64</v>
      </c>
      <c r="E500">
        <v>5</v>
      </c>
      <c r="F500" s="6">
        <v>1.28</v>
      </c>
      <c r="G500" s="4">
        <v>16.38</v>
      </c>
      <c r="H500" t="s">
        <v>154</v>
      </c>
      <c r="I500" t="s">
        <v>75</v>
      </c>
      <c r="J500" t="s">
        <v>1373</v>
      </c>
    </row>
    <row r="501" spans="1:10" x14ac:dyDescent="0.35">
      <c r="A501" t="s">
        <v>1374</v>
      </c>
      <c r="B501" t="s">
        <v>16</v>
      </c>
      <c r="C501" t="s">
        <v>89</v>
      </c>
      <c r="D501">
        <v>66.27</v>
      </c>
      <c r="E501">
        <v>4</v>
      </c>
      <c r="F501" s="6">
        <v>32.229999999999997</v>
      </c>
      <c r="G501" s="4">
        <v>71.260000000000005</v>
      </c>
      <c r="H501" t="s">
        <v>765</v>
      </c>
      <c r="I501" t="s">
        <v>330</v>
      </c>
      <c r="J501" t="s">
        <v>1375</v>
      </c>
    </row>
    <row r="502" spans="1:10" x14ac:dyDescent="0.35">
      <c r="A502" t="s">
        <v>1376</v>
      </c>
      <c r="B502" t="s">
        <v>16</v>
      </c>
      <c r="C502" t="s">
        <v>47</v>
      </c>
      <c r="D502">
        <v>224.65</v>
      </c>
      <c r="E502">
        <v>3</v>
      </c>
      <c r="F502" s="6">
        <v>25.54</v>
      </c>
      <c r="G502" s="4">
        <v>57.81</v>
      </c>
      <c r="H502" t="s">
        <v>676</v>
      </c>
      <c r="I502" t="s">
        <v>423</v>
      </c>
      <c r="J502" t="s">
        <v>1377</v>
      </c>
    </row>
    <row r="503" spans="1:10" x14ac:dyDescent="0.35">
      <c r="A503" t="s">
        <v>1378</v>
      </c>
      <c r="B503" t="s">
        <v>42</v>
      </c>
      <c r="C503" t="s">
        <v>37</v>
      </c>
      <c r="D503">
        <v>226.19</v>
      </c>
      <c r="E503">
        <v>5</v>
      </c>
      <c r="F503" s="6">
        <v>36.69</v>
      </c>
      <c r="G503" s="4">
        <v>79.900000000000006</v>
      </c>
      <c r="H503" t="s">
        <v>288</v>
      </c>
      <c r="I503" t="s">
        <v>1010</v>
      </c>
      <c r="J503" t="s">
        <v>1379</v>
      </c>
    </row>
    <row r="504" spans="1:10" x14ac:dyDescent="0.35">
      <c r="A504" t="s">
        <v>1380</v>
      </c>
      <c r="B504" t="s">
        <v>10</v>
      </c>
      <c r="C504" t="s">
        <v>56</v>
      </c>
      <c r="D504">
        <v>62.67</v>
      </c>
      <c r="E504">
        <v>5</v>
      </c>
      <c r="F504" s="6">
        <v>31.81</v>
      </c>
      <c r="G504" s="4">
        <v>48.06</v>
      </c>
      <c r="H504" t="s">
        <v>869</v>
      </c>
      <c r="I504" t="s">
        <v>396</v>
      </c>
      <c r="J504" t="s">
        <v>1381</v>
      </c>
    </row>
    <row r="505" spans="1:10" x14ac:dyDescent="0.35">
      <c r="A505" t="s">
        <v>1382</v>
      </c>
      <c r="B505" t="s">
        <v>16</v>
      </c>
      <c r="C505" t="s">
        <v>17</v>
      </c>
      <c r="D505">
        <v>244.87</v>
      </c>
      <c r="E505">
        <v>5</v>
      </c>
      <c r="F505" s="6">
        <v>12.63</v>
      </c>
      <c r="G505" s="4">
        <v>86.49</v>
      </c>
      <c r="H505" t="s">
        <v>162</v>
      </c>
      <c r="I505" t="s">
        <v>558</v>
      </c>
      <c r="J505" t="s">
        <v>1383</v>
      </c>
    </row>
    <row r="506" spans="1:10" x14ac:dyDescent="0.35">
      <c r="A506" t="s">
        <v>1384</v>
      </c>
      <c r="B506" t="s">
        <v>16</v>
      </c>
      <c r="C506" t="s">
        <v>22</v>
      </c>
      <c r="D506">
        <v>161.66999999999999</v>
      </c>
      <c r="E506">
        <v>5</v>
      </c>
      <c r="F506" s="6">
        <v>2.48</v>
      </c>
      <c r="G506" s="4">
        <v>22.52</v>
      </c>
      <c r="H506" t="s">
        <v>600</v>
      </c>
      <c r="I506" t="s">
        <v>651</v>
      </c>
      <c r="J506" t="s">
        <v>1385</v>
      </c>
    </row>
    <row r="507" spans="1:10" x14ac:dyDescent="0.35">
      <c r="A507" t="s">
        <v>1386</v>
      </c>
      <c r="B507" t="s">
        <v>42</v>
      </c>
      <c r="C507" t="s">
        <v>61</v>
      </c>
      <c r="D507">
        <v>446.87</v>
      </c>
      <c r="E507">
        <v>4</v>
      </c>
      <c r="F507" s="6">
        <v>25.93</v>
      </c>
      <c r="G507" s="4">
        <v>55.99</v>
      </c>
      <c r="H507" t="s">
        <v>1387</v>
      </c>
      <c r="I507" t="s">
        <v>373</v>
      </c>
      <c r="J507" t="s">
        <v>1388</v>
      </c>
    </row>
    <row r="508" spans="1:10" x14ac:dyDescent="0.35">
      <c r="A508" t="s">
        <v>1389</v>
      </c>
      <c r="B508" t="s">
        <v>10</v>
      </c>
      <c r="C508" t="s">
        <v>27</v>
      </c>
      <c r="D508">
        <v>395.54</v>
      </c>
      <c r="E508">
        <v>4</v>
      </c>
      <c r="F508" s="6">
        <v>23.77</v>
      </c>
      <c r="G508" s="4">
        <v>17.57</v>
      </c>
      <c r="H508" t="s">
        <v>757</v>
      </c>
      <c r="I508" t="s">
        <v>787</v>
      </c>
      <c r="J508" t="s">
        <v>1390</v>
      </c>
    </row>
    <row r="509" spans="1:10" x14ac:dyDescent="0.35">
      <c r="A509" t="s">
        <v>1391</v>
      </c>
      <c r="B509" t="s">
        <v>42</v>
      </c>
      <c r="C509" t="s">
        <v>32</v>
      </c>
      <c r="D509">
        <v>343.68</v>
      </c>
      <c r="E509">
        <v>5</v>
      </c>
      <c r="F509" s="6">
        <v>47.26</v>
      </c>
      <c r="G509" s="4">
        <v>36.54</v>
      </c>
      <c r="H509" t="s">
        <v>121</v>
      </c>
      <c r="I509" t="s">
        <v>1392</v>
      </c>
      <c r="J509" t="s">
        <v>1393</v>
      </c>
    </row>
    <row r="510" spans="1:10" x14ac:dyDescent="0.35">
      <c r="A510" t="s">
        <v>1394</v>
      </c>
      <c r="B510" t="s">
        <v>42</v>
      </c>
      <c r="C510" t="s">
        <v>61</v>
      </c>
      <c r="D510">
        <v>283.73</v>
      </c>
      <c r="E510">
        <v>4</v>
      </c>
      <c r="F510" s="6">
        <v>14.7</v>
      </c>
      <c r="G510" s="4">
        <v>52.44</v>
      </c>
      <c r="H510" t="s">
        <v>1147</v>
      </c>
      <c r="I510" t="s">
        <v>1234</v>
      </c>
      <c r="J510" t="s">
        <v>1395</v>
      </c>
    </row>
    <row r="511" spans="1:10" x14ac:dyDescent="0.35">
      <c r="A511" t="s">
        <v>1396</v>
      </c>
      <c r="B511" t="s">
        <v>16</v>
      </c>
      <c r="C511" t="s">
        <v>56</v>
      </c>
      <c r="D511">
        <v>424.75</v>
      </c>
      <c r="E511">
        <v>3</v>
      </c>
      <c r="F511" s="6">
        <v>43.97</v>
      </c>
      <c r="G511" s="4">
        <v>42.55</v>
      </c>
      <c r="H511" t="s">
        <v>1317</v>
      </c>
      <c r="I511" t="s">
        <v>280</v>
      </c>
      <c r="J511" t="s">
        <v>1397</v>
      </c>
    </row>
    <row r="512" spans="1:10" x14ac:dyDescent="0.35">
      <c r="A512" t="s">
        <v>1398</v>
      </c>
      <c r="B512" t="s">
        <v>10</v>
      </c>
      <c r="C512" t="s">
        <v>61</v>
      </c>
      <c r="D512">
        <v>136.22</v>
      </c>
      <c r="E512">
        <v>3</v>
      </c>
      <c r="F512" s="6">
        <v>38.82</v>
      </c>
      <c r="G512" s="4">
        <v>20.28</v>
      </c>
      <c r="H512" t="s">
        <v>39</v>
      </c>
      <c r="I512" t="s">
        <v>78</v>
      </c>
      <c r="J512" t="s">
        <v>1399</v>
      </c>
    </row>
    <row r="513" spans="1:10" x14ac:dyDescent="0.35">
      <c r="A513" t="s">
        <v>1400</v>
      </c>
      <c r="B513" t="s">
        <v>16</v>
      </c>
      <c r="C513" t="s">
        <v>17</v>
      </c>
      <c r="D513">
        <v>369.28</v>
      </c>
      <c r="E513">
        <v>3</v>
      </c>
      <c r="F513" s="6">
        <v>9.6199999999999992</v>
      </c>
      <c r="G513" s="4">
        <v>62.72</v>
      </c>
      <c r="H513" t="s">
        <v>493</v>
      </c>
      <c r="I513" t="s">
        <v>304</v>
      </c>
      <c r="J513" t="s">
        <v>1401</v>
      </c>
    </row>
    <row r="514" spans="1:10" x14ac:dyDescent="0.35">
      <c r="A514" t="s">
        <v>1402</v>
      </c>
      <c r="B514" t="s">
        <v>42</v>
      </c>
      <c r="C514" t="s">
        <v>61</v>
      </c>
      <c r="D514">
        <v>232.56</v>
      </c>
      <c r="E514">
        <v>4</v>
      </c>
      <c r="F514" s="6">
        <v>7.1</v>
      </c>
      <c r="G514" s="4">
        <v>55.64</v>
      </c>
      <c r="H514" t="s">
        <v>883</v>
      </c>
      <c r="I514" t="s">
        <v>117</v>
      </c>
      <c r="J514" t="s">
        <v>1403</v>
      </c>
    </row>
    <row r="515" spans="1:10" x14ac:dyDescent="0.35">
      <c r="A515" t="s">
        <v>1404</v>
      </c>
      <c r="B515" t="s">
        <v>16</v>
      </c>
      <c r="C515" t="s">
        <v>27</v>
      </c>
      <c r="D515">
        <v>72.790000000000006</v>
      </c>
      <c r="E515">
        <v>4</v>
      </c>
      <c r="F515" s="6">
        <v>7.49</v>
      </c>
      <c r="G515" s="4">
        <v>53.38</v>
      </c>
      <c r="H515" t="s">
        <v>765</v>
      </c>
      <c r="I515" t="s">
        <v>859</v>
      </c>
      <c r="J515" t="s">
        <v>1405</v>
      </c>
    </row>
    <row r="516" spans="1:10" x14ac:dyDescent="0.35">
      <c r="A516" t="s">
        <v>1406</v>
      </c>
      <c r="B516" t="s">
        <v>10</v>
      </c>
      <c r="C516" t="s">
        <v>17</v>
      </c>
      <c r="D516">
        <v>194.29</v>
      </c>
      <c r="E516">
        <v>4</v>
      </c>
      <c r="F516" s="6">
        <v>11.42</v>
      </c>
      <c r="G516" s="4">
        <v>36.409999999999997</v>
      </c>
      <c r="H516" t="s">
        <v>717</v>
      </c>
      <c r="I516" t="s">
        <v>613</v>
      </c>
      <c r="J516" t="s">
        <v>1407</v>
      </c>
    </row>
    <row r="517" spans="1:10" x14ac:dyDescent="0.35">
      <c r="A517" t="s">
        <v>1408</v>
      </c>
      <c r="B517" t="s">
        <v>42</v>
      </c>
      <c r="C517" t="s">
        <v>11</v>
      </c>
      <c r="D517">
        <v>456.73</v>
      </c>
      <c r="E517">
        <v>4</v>
      </c>
      <c r="F517" s="6">
        <v>42.66</v>
      </c>
      <c r="G517" s="4">
        <v>81.96</v>
      </c>
      <c r="H517" t="s">
        <v>803</v>
      </c>
      <c r="I517" t="s">
        <v>945</v>
      </c>
      <c r="J517" t="s">
        <v>481</v>
      </c>
    </row>
    <row r="518" spans="1:10" x14ac:dyDescent="0.35">
      <c r="A518" t="s">
        <v>1409</v>
      </c>
      <c r="B518" t="s">
        <v>10</v>
      </c>
      <c r="C518" t="s">
        <v>32</v>
      </c>
      <c r="D518">
        <v>359.92</v>
      </c>
      <c r="E518">
        <v>4</v>
      </c>
      <c r="F518" s="6">
        <v>41.6</v>
      </c>
      <c r="G518" s="4">
        <v>44.28</v>
      </c>
      <c r="H518" t="s">
        <v>539</v>
      </c>
      <c r="I518" t="s">
        <v>1132</v>
      </c>
      <c r="J518" t="s">
        <v>1410</v>
      </c>
    </row>
    <row r="519" spans="1:10" x14ac:dyDescent="0.35">
      <c r="A519" t="s">
        <v>1411</v>
      </c>
      <c r="B519" t="s">
        <v>42</v>
      </c>
      <c r="C519" t="s">
        <v>37</v>
      </c>
      <c r="D519">
        <v>336.06</v>
      </c>
      <c r="E519">
        <v>4</v>
      </c>
      <c r="F519" s="6">
        <v>39.33</v>
      </c>
      <c r="G519" s="4">
        <v>24.28</v>
      </c>
      <c r="H519" t="s">
        <v>210</v>
      </c>
      <c r="I519" t="s">
        <v>224</v>
      </c>
      <c r="J519" t="s">
        <v>1412</v>
      </c>
    </row>
    <row r="520" spans="1:10" x14ac:dyDescent="0.35">
      <c r="A520" t="s">
        <v>1413</v>
      </c>
      <c r="B520" t="s">
        <v>16</v>
      </c>
      <c r="C520" t="s">
        <v>56</v>
      </c>
      <c r="D520">
        <v>347.81</v>
      </c>
      <c r="E520">
        <v>3</v>
      </c>
      <c r="F520" s="6">
        <v>48.84</v>
      </c>
      <c r="G520" s="4">
        <v>39.11</v>
      </c>
      <c r="H520" t="s">
        <v>713</v>
      </c>
      <c r="I520" t="s">
        <v>13</v>
      </c>
      <c r="J520" t="s">
        <v>1414</v>
      </c>
    </row>
    <row r="521" spans="1:10" x14ac:dyDescent="0.35">
      <c r="A521" t="s">
        <v>1415</v>
      </c>
      <c r="B521" t="s">
        <v>16</v>
      </c>
      <c r="C521" t="s">
        <v>17</v>
      </c>
      <c r="D521">
        <v>483.34</v>
      </c>
      <c r="E521">
        <v>3</v>
      </c>
      <c r="F521" s="6">
        <v>27.18</v>
      </c>
      <c r="G521" s="4">
        <v>86.09</v>
      </c>
      <c r="H521" t="s">
        <v>768</v>
      </c>
      <c r="I521" t="s">
        <v>634</v>
      </c>
      <c r="J521" t="s">
        <v>1416</v>
      </c>
    </row>
    <row r="522" spans="1:10" x14ac:dyDescent="0.35">
      <c r="A522" t="s">
        <v>1417</v>
      </c>
      <c r="B522" t="s">
        <v>10</v>
      </c>
      <c r="C522" t="s">
        <v>89</v>
      </c>
      <c r="D522">
        <v>185.72</v>
      </c>
      <c r="E522">
        <v>4</v>
      </c>
      <c r="F522" s="6">
        <v>46.35</v>
      </c>
      <c r="G522" s="4">
        <v>69.569999999999993</v>
      </c>
      <c r="H522" t="s">
        <v>1418</v>
      </c>
      <c r="I522" t="s">
        <v>708</v>
      </c>
      <c r="J522" t="s">
        <v>1419</v>
      </c>
    </row>
    <row r="523" spans="1:10" x14ac:dyDescent="0.35">
      <c r="A523" t="s">
        <v>1420</v>
      </c>
      <c r="B523" t="s">
        <v>16</v>
      </c>
      <c r="C523" t="s">
        <v>61</v>
      </c>
      <c r="D523">
        <v>84.12</v>
      </c>
      <c r="E523">
        <v>3</v>
      </c>
      <c r="F523" s="6">
        <v>37.549999999999997</v>
      </c>
      <c r="G523" s="4">
        <v>96.31</v>
      </c>
      <c r="H523" t="s">
        <v>301</v>
      </c>
      <c r="I523" t="s">
        <v>139</v>
      </c>
      <c r="J523" t="s">
        <v>1421</v>
      </c>
    </row>
    <row r="524" spans="1:10" x14ac:dyDescent="0.35">
      <c r="A524" t="s">
        <v>1422</v>
      </c>
      <c r="B524" t="s">
        <v>10</v>
      </c>
      <c r="C524" t="s">
        <v>37</v>
      </c>
      <c r="D524">
        <v>250.82</v>
      </c>
      <c r="E524">
        <v>3</v>
      </c>
      <c r="F524" s="6">
        <v>13.45</v>
      </c>
      <c r="G524" s="4">
        <v>39.89</v>
      </c>
      <c r="H524" t="s">
        <v>266</v>
      </c>
      <c r="I524" t="s">
        <v>62</v>
      </c>
      <c r="J524" t="s">
        <v>1423</v>
      </c>
    </row>
    <row r="525" spans="1:10" x14ac:dyDescent="0.35">
      <c r="A525" t="s">
        <v>1424</v>
      </c>
      <c r="B525" t="s">
        <v>16</v>
      </c>
      <c r="C525" t="s">
        <v>37</v>
      </c>
      <c r="D525">
        <v>288.32</v>
      </c>
      <c r="E525">
        <v>4</v>
      </c>
      <c r="F525" s="6">
        <v>28.72</v>
      </c>
      <c r="G525" s="4">
        <v>39.5</v>
      </c>
      <c r="H525" t="s">
        <v>757</v>
      </c>
      <c r="I525" t="s">
        <v>1147</v>
      </c>
      <c r="J525" t="s">
        <v>1425</v>
      </c>
    </row>
    <row r="526" spans="1:10" x14ac:dyDescent="0.35">
      <c r="A526" t="s">
        <v>1426</v>
      </c>
      <c r="B526" t="s">
        <v>42</v>
      </c>
      <c r="C526" t="s">
        <v>37</v>
      </c>
      <c r="D526">
        <v>390.96</v>
      </c>
      <c r="E526">
        <v>5</v>
      </c>
      <c r="F526" s="6">
        <v>18.260000000000002</v>
      </c>
      <c r="G526" s="4">
        <v>25.48</v>
      </c>
      <c r="H526" t="s">
        <v>318</v>
      </c>
      <c r="I526" t="s">
        <v>74</v>
      </c>
      <c r="J526" t="s">
        <v>1427</v>
      </c>
    </row>
    <row r="527" spans="1:10" x14ac:dyDescent="0.35">
      <c r="A527" t="s">
        <v>1428</v>
      </c>
      <c r="B527" t="s">
        <v>16</v>
      </c>
      <c r="C527" t="s">
        <v>61</v>
      </c>
      <c r="D527">
        <v>362.07</v>
      </c>
      <c r="E527">
        <v>4</v>
      </c>
      <c r="F527" s="6">
        <v>28.08</v>
      </c>
      <c r="G527" s="4">
        <v>93.54</v>
      </c>
      <c r="H527" t="s">
        <v>917</v>
      </c>
      <c r="I527" t="s">
        <v>621</v>
      </c>
      <c r="J527" t="s">
        <v>1429</v>
      </c>
    </row>
    <row r="528" spans="1:10" x14ac:dyDescent="0.35">
      <c r="A528" t="s">
        <v>1430</v>
      </c>
      <c r="B528" t="s">
        <v>16</v>
      </c>
      <c r="C528" t="s">
        <v>89</v>
      </c>
      <c r="D528">
        <v>413.67</v>
      </c>
      <c r="E528">
        <v>3</v>
      </c>
      <c r="F528" s="6">
        <v>10.34</v>
      </c>
      <c r="G528" s="4">
        <v>76.19</v>
      </c>
      <c r="H528" t="s">
        <v>62</v>
      </c>
      <c r="I528" t="s">
        <v>416</v>
      </c>
      <c r="J528" t="s">
        <v>1431</v>
      </c>
    </row>
    <row r="529" spans="1:10" x14ac:dyDescent="0.35">
      <c r="A529" t="s">
        <v>1432</v>
      </c>
      <c r="B529" t="s">
        <v>16</v>
      </c>
      <c r="C529" t="s">
        <v>32</v>
      </c>
      <c r="D529">
        <v>63.18</v>
      </c>
      <c r="E529">
        <v>3</v>
      </c>
      <c r="F529" s="6">
        <v>37.69</v>
      </c>
      <c r="G529" s="4">
        <v>59.79</v>
      </c>
      <c r="H529" t="s">
        <v>28</v>
      </c>
      <c r="I529" t="s">
        <v>1304</v>
      </c>
      <c r="J529" t="s">
        <v>1433</v>
      </c>
    </row>
    <row r="530" spans="1:10" x14ac:dyDescent="0.35">
      <c r="A530" t="s">
        <v>1434</v>
      </c>
      <c r="B530" t="s">
        <v>16</v>
      </c>
      <c r="C530" t="s">
        <v>17</v>
      </c>
      <c r="D530">
        <v>366.99</v>
      </c>
      <c r="E530">
        <v>3</v>
      </c>
      <c r="F530" s="6">
        <v>49.54</v>
      </c>
      <c r="G530" s="4">
        <v>91.66</v>
      </c>
      <c r="H530" t="s">
        <v>1252</v>
      </c>
      <c r="I530" t="s">
        <v>856</v>
      </c>
      <c r="J530" t="s">
        <v>1435</v>
      </c>
    </row>
    <row r="531" spans="1:10" x14ac:dyDescent="0.35">
      <c r="A531" t="s">
        <v>1436</v>
      </c>
      <c r="B531" t="s">
        <v>16</v>
      </c>
      <c r="C531" t="s">
        <v>89</v>
      </c>
      <c r="D531">
        <v>289.58</v>
      </c>
      <c r="E531">
        <v>3</v>
      </c>
      <c r="F531" s="6">
        <v>21.32</v>
      </c>
      <c r="G531" s="4">
        <v>47.35</v>
      </c>
      <c r="H531" t="s">
        <v>787</v>
      </c>
      <c r="I531" t="s">
        <v>510</v>
      </c>
      <c r="J531" t="s">
        <v>631</v>
      </c>
    </row>
    <row r="532" spans="1:10" x14ac:dyDescent="0.35">
      <c r="A532" t="s">
        <v>1437</v>
      </c>
      <c r="B532" t="s">
        <v>42</v>
      </c>
      <c r="C532" t="s">
        <v>32</v>
      </c>
      <c r="D532">
        <v>265.77</v>
      </c>
      <c r="E532">
        <v>4</v>
      </c>
      <c r="F532" s="6">
        <v>17.78</v>
      </c>
      <c r="G532" s="4">
        <v>72.59</v>
      </c>
      <c r="H532" t="s">
        <v>209</v>
      </c>
      <c r="I532" t="s">
        <v>75</v>
      </c>
      <c r="J532" t="s">
        <v>1438</v>
      </c>
    </row>
    <row r="533" spans="1:10" x14ac:dyDescent="0.35">
      <c r="A533" t="s">
        <v>1439</v>
      </c>
      <c r="B533" t="s">
        <v>42</v>
      </c>
      <c r="C533" t="s">
        <v>27</v>
      </c>
      <c r="D533">
        <v>191.39</v>
      </c>
      <c r="E533">
        <v>3</v>
      </c>
      <c r="F533" s="6">
        <v>34.130000000000003</v>
      </c>
      <c r="G533" s="4">
        <v>17.5</v>
      </c>
      <c r="H533" t="s">
        <v>1266</v>
      </c>
      <c r="I533" t="s">
        <v>305</v>
      </c>
      <c r="J533" t="s">
        <v>1440</v>
      </c>
    </row>
    <row r="534" spans="1:10" x14ac:dyDescent="0.35">
      <c r="A534" t="s">
        <v>1441</v>
      </c>
      <c r="B534" t="s">
        <v>10</v>
      </c>
      <c r="C534" t="s">
        <v>89</v>
      </c>
      <c r="D534">
        <v>407.98</v>
      </c>
      <c r="E534">
        <v>4</v>
      </c>
      <c r="F534" s="6">
        <v>43.08</v>
      </c>
      <c r="G534" s="4">
        <v>97.1</v>
      </c>
      <c r="H534" t="s">
        <v>1232</v>
      </c>
      <c r="I534" t="s">
        <v>351</v>
      </c>
      <c r="J534" t="s">
        <v>1442</v>
      </c>
    </row>
    <row r="535" spans="1:10" x14ac:dyDescent="0.35">
      <c r="A535" t="s">
        <v>1443</v>
      </c>
      <c r="B535" t="s">
        <v>42</v>
      </c>
      <c r="C535" t="s">
        <v>17</v>
      </c>
      <c r="D535">
        <v>74.040000000000006</v>
      </c>
      <c r="E535">
        <v>5</v>
      </c>
      <c r="F535" s="6">
        <v>9.7899999999999991</v>
      </c>
      <c r="G535" s="4">
        <v>66.989999999999995</v>
      </c>
      <c r="H535" t="s">
        <v>420</v>
      </c>
      <c r="I535" t="s">
        <v>693</v>
      </c>
      <c r="J535" t="s">
        <v>1444</v>
      </c>
    </row>
    <row r="536" spans="1:10" x14ac:dyDescent="0.35">
      <c r="A536" t="s">
        <v>1445</v>
      </c>
      <c r="B536" t="s">
        <v>42</v>
      </c>
      <c r="C536" t="s">
        <v>47</v>
      </c>
      <c r="D536">
        <v>206.36</v>
      </c>
      <c r="E536">
        <v>4</v>
      </c>
      <c r="F536" s="6">
        <v>46.24</v>
      </c>
      <c r="G536" s="4">
        <v>81.510000000000005</v>
      </c>
      <c r="H536" t="s">
        <v>931</v>
      </c>
      <c r="I536" t="s">
        <v>236</v>
      </c>
      <c r="J536" t="s">
        <v>1446</v>
      </c>
    </row>
    <row r="537" spans="1:10" x14ac:dyDescent="0.35">
      <c r="A537" t="s">
        <v>1447</v>
      </c>
      <c r="B537" t="s">
        <v>10</v>
      </c>
      <c r="C537" t="s">
        <v>37</v>
      </c>
      <c r="D537">
        <v>237.39</v>
      </c>
      <c r="E537">
        <v>3</v>
      </c>
      <c r="F537" s="6">
        <v>27.55</v>
      </c>
      <c r="G537" s="4">
        <v>18.07</v>
      </c>
      <c r="H537" t="s">
        <v>590</v>
      </c>
      <c r="I537" t="s">
        <v>600</v>
      </c>
      <c r="J537" t="s">
        <v>1448</v>
      </c>
    </row>
    <row r="538" spans="1:10" x14ac:dyDescent="0.35">
      <c r="A538" t="s">
        <v>1449</v>
      </c>
      <c r="B538" t="s">
        <v>16</v>
      </c>
      <c r="C538" t="s">
        <v>22</v>
      </c>
      <c r="D538">
        <v>173.13</v>
      </c>
      <c r="E538">
        <v>4</v>
      </c>
      <c r="F538" s="6">
        <v>44.54</v>
      </c>
      <c r="G538" s="4">
        <v>26.95</v>
      </c>
      <c r="H538" t="s">
        <v>370</v>
      </c>
      <c r="I538" t="s">
        <v>391</v>
      </c>
      <c r="J538" t="s">
        <v>1450</v>
      </c>
    </row>
    <row r="539" spans="1:10" x14ac:dyDescent="0.35">
      <c r="A539" t="s">
        <v>1451</v>
      </c>
      <c r="B539" t="s">
        <v>16</v>
      </c>
      <c r="C539" t="s">
        <v>11</v>
      </c>
      <c r="D539">
        <v>156.96</v>
      </c>
      <c r="E539">
        <v>5</v>
      </c>
      <c r="F539" s="6">
        <v>18.27</v>
      </c>
      <c r="G539" s="4">
        <v>20.23</v>
      </c>
      <c r="H539" t="s">
        <v>183</v>
      </c>
      <c r="I539" t="s">
        <v>1261</v>
      </c>
      <c r="J539" t="s">
        <v>1452</v>
      </c>
    </row>
    <row r="540" spans="1:10" x14ac:dyDescent="0.35">
      <c r="A540" t="s">
        <v>1453</v>
      </c>
      <c r="B540" t="s">
        <v>16</v>
      </c>
      <c r="C540" t="s">
        <v>27</v>
      </c>
      <c r="D540">
        <v>378.51</v>
      </c>
      <c r="E540">
        <v>4</v>
      </c>
      <c r="F540" s="6">
        <v>46.24</v>
      </c>
      <c r="G540" s="4">
        <v>33.1</v>
      </c>
      <c r="H540" t="s">
        <v>513</v>
      </c>
      <c r="I540" t="s">
        <v>326</v>
      </c>
      <c r="J540" t="s">
        <v>1454</v>
      </c>
    </row>
    <row r="541" spans="1:10" x14ac:dyDescent="0.35">
      <c r="A541" t="s">
        <v>1455</v>
      </c>
      <c r="B541" t="s">
        <v>10</v>
      </c>
      <c r="C541" t="s">
        <v>89</v>
      </c>
      <c r="D541">
        <v>472.1</v>
      </c>
      <c r="E541">
        <v>4</v>
      </c>
      <c r="F541" s="6">
        <v>43.09</v>
      </c>
      <c r="G541" s="4">
        <v>55.02</v>
      </c>
      <c r="H541" t="s">
        <v>168</v>
      </c>
      <c r="I541" t="s">
        <v>991</v>
      </c>
      <c r="J541" t="s">
        <v>1456</v>
      </c>
    </row>
    <row r="542" spans="1:10" x14ac:dyDescent="0.35">
      <c r="A542" t="s">
        <v>1457</v>
      </c>
      <c r="B542" t="s">
        <v>42</v>
      </c>
      <c r="C542" t="s">
        <v>56</v>
      </c>
      <c r="D542">
        <v>215.02</v>
      </c>
      <c r="E542">
        <v>5</v>
      </c>
      <c r="F542" s="6">
        <v>41.76</v>
      </c>
      <c r="G542" s="4">
        <v>98.49</v>
      </c>
      <c r="H542" t="s">
        <v>28</v>
      </c>
      <c r="I542" t="s">
        <v>29</v>
      </c>
      <c r="J542" t="s">
        <v>1458</v>
      </c>
    </row>
    <row r="543" spans="1:10" x14ac:dyDescent="0.35">
      <c r="A543" t="s">
        <v>1459</v>
      </c>
      <c r="B543" t="s">
        <v>10</v>
      </c>
      <c r="C543" t="s">
        <v>11</v>
      </c>
      <c r="D543">
        <v>390.51</v>
      </c>
      <c r="E543">
        <v>5</v>
      </c>
      <c r="F543" s="6">
        <v>1.86</v>
      </c>
      <c r="G543" s="4">
        <v>15.19</v>
      </c>
      <c r="H543" t="s">
        <v>484</v>
      </c>
      <c r="I543" t="s">
        <v>673</v>
      </c>
      <c r="J543" t="s">
        <v>1460</v>
      </c>
    </row>
    <row r="544" spans="1:10" x14ac:dyDescent="0.35">
      <c r="A544" t="s">
        <v>1461</v>
      </c>
      <c r="B544" t="s">
        <v>16</v>
      </c>
      <c r="C544" t="s">
        <v>22</v>
      </c>
      <c r="D544">
        <v>100.64</v>
      </c>
      <c r="E544">
        <v>3</v>
      </c>
      <c r="F544" s="6">
        <v>8.24</v>
      </c>
      <c r="G544" s="4">
        <v>29.05</v>
      </c>
      <c r="H544" t="s">
        <v>1272</v>
      </c>
      <c r="I544" t="s">
        <v>676</v>
      </c>
      <c r="J544" t="s">
        <v>1462</v>
      </c>
    </row>
    <row r="545" spans="1:10" x14ac:dyDescent="0.35">
      <c r="A545" t="s">
        <v>1463</v>
      </c>
      <c r="B545" t="s">
        <v>10</v>
      </c>
      <c r="C545" t="s">
        <v>37</v>
      </c>
      <c r="D545">
        <v>93.18</v>
      </c>
      <c r="E545">
        <v>4</v>
      </c>
      <c r="F545" s="6">
        <v>22.79</v>
      </c>
      <c r="G545" s="4">
        <v>17.899999999999999</v>
      </c>
      <c r="H545" t="s">
        <v>63</v>
      </c>
      <c r="I545" t="s">
        <v>376</v>
      </c>
      <c r="J545" t="s">
        <v>1464</v>
      </c>
    </row>
    <row r="546" spans="1:10" x14ac:dyDescent="0.35">
      <c r="A546" t="s">
        <v>1465</v>
      </c>
      <c r="B546" t="s">
        <v>16</v>
      </c>
      <c r="C546" t="s">
        <v>47</v>
      </c>
      <c r="D546">
        <v>185.94</v>
      </c>
      <c r="E546">
        <v>3</v>
      </c>
      <c r="F546" s="6">
        <v>32.409999999999997</v>
      </c>
      <c r="G546" s="4">
        <v>32.6</v>
      </c>
      <c r="H546" t="s">
        <v>639</v>
      </c>
      <c r="I546" t="s">
        <v>666</v>
      </c>
      <c r="J546" t="s">
        <v>1466</v>
      </c>
    </row>
    <row r="547" spans="1:10" x14ac:dyDescent="0.35">
      <c r="A547" t="s">
        <v>1467</v>
      </c>
      <c r="B547" t="s">
        <v>16</v>
      </c>
      <c r="C547" t="s">
        <v>37</v>
      </c>
      <c r="D547">
        <v>129.65</v>
      </c>
      <c r="E547">
        <v>5</v>
      </c>
      <c r="F547" s="6">
        <v>13.5</v>
      </c>
      <c r="G547" s="4">
        <v>28.94</v>
      </c>
      <c r="H547" t="s">
        <v>624</v>
      </c>
      <c r="I547" t="s">
        <v>1243</v>
      </c>
      <c r="J547" t="s">
        <v>1468</v>
      </c>
    </row>
    <row r="548" spans="1:10" x14ac:dyDescent="0.35">
      <c r="A548" t="s">
        <v>1469</v>
      </c>
      <c r="B548" t="s">
        <v>16</v>
      </c>
      <c r="C548" t="s">
        <v>22</v>
      </c>
      <c r="D548">
        <v>465.08</v>
      </c>
      <c r="E548">
        <v>4</v>
      </c>
      <c r="F548" s="6">
        <v>30.05</v>
      </c>
      <c r="G548" s="4">
        <v>66.319999999999993</v>
      </c>
      <c r="H548" t="s">
        <v>413</v>
      </c>
      <c r="I548" t="s">
        <v>420</v>
      </c>
      <c r="J548" t="s">
        <v>1470</v>
      </c>
    </row>
    <row r="549" spans="1:10" x14ac:dyDescent="0.35">
      <c r="A549" t="s">
        <v>1471</v>
      </c>
      <c r="B549" t="s">
        <v>42</v>
      </c>
      <c r="C549" t="s">
        <v>11</v>
      </c>
      <c r="D549">
        <v>414.2</v>
      </c>
      <c r="E549">
        <v>3</v>
      </c>
      <c r="F549" s="6">
        <v>21.77</v>
      </c>
      <c r="G549" s="4">
        <v>33.5</v>
      </c>
      <c r="H549" t="s">
        <v>52</v>
      </c>
      <c r="I549" t="s">
        <v>1001</v>
      </c>
      <c r="J549" t="s">
        <v>1472</v>
      </c>
    </row>
    <row r="550" spans="1:10" x14ac:dyDescent="0.35">
      <c r="A550" t="s">
        <v>1473</v>
      </c>
      <c r="B550" t="s">
        <v>10</v>
      </c>
      <c r="C550" t="s">
        <v>56</v>
      </c>
      <c r="D550">
        <v>61.86</v>
      </c>
      <c r="E550">
        <v>3</v>
      </c>
      <c r="F550" s="6">
        <v>21.17</v>
      </c>
      <c r="G550" s="4">
        <v>45.57</v>
      </c>
      <c r="H550" t="s">
        <v>308</v>
      </c>
      <c r="I550" t="s">
        <v>1474</v>
      </c>
      <c r="J550" t="s">
        <v>1475</v>
      </c>
    </row>
    <row r="551" spans="1:10" x14ac:dyDescent="0.35">
      <c r="A551" t="s">
        <v>1476</v>
      </c>
      <c r="B551" t="s">
        <v>10</v>
      </c>
      <c r="C551" t="s">
        <v>27</v>
      </c>
      <c r="D551">
        <v>192.84</v>
      </c>
      <c r="E551">
        <v>5</v>
      </c>
      <c r="F551" s="6">
        <v>21.79</v>
      </c>
      <c r="G551" s="4">
        <v>65.42</v>
      </c>
      <c r="H551" t="s">
        <v>338</v>
      </c>
      <c r="I551" t="s">
        <v>404</v>
      </c>
      <c r="J551" t="s">
        <v>1477</v>
      </c>
    </row>
    <row r="552" spans="1:10" x14ac:dyDescent="0.35">
      <c r="A552" t="s">
        <v>1478</v>
      </c>
      <c r="B552" t="s">
        <v>10</v>
      </c>
      <c r="C552" t="s">
        <v>56</v>
      </c>
      <c r="D552">
        <v>204.57</v>
      </c>
      <c r="E552">
        <v>5</v>
      </c>
      <c r="F552" s="6">
        <v>43.39</v>
      </c>
      <c r="G552" s="4">
        <v>63.56</v>
      </c>
      <c r="H552" t="s">
        <v>244</v>
      </c>
      <c r="I552" t="s">
        <v>38</v>
      </c>
      <c r="J552" t="s">
        <v>1479</v>
      </c>
    </row>
    <row r="553" spans="1:10" x14ac:dyDescent="0.35">
      <c r="A553" t="s">
        <v>1480</v>
      </c>
      <c r="B553" t="s">
        <v>16</v>
      </c>
      <c r="C553" t="s">
        <v>27</v>
      </c>
      <c r="D553">
        <v>284.02</v>
      </c>
      <c r="E553">
        <v>5</v>
      </c>
      <c r="F553" s="6">
        <v>40.67</v>
      </c>
      <c r="G553" s="4">
        <v>76.77</v>
      </c>
      <c r="H553" t="s">
        <v>666</v>
      </c>
      <c r="I553" t="s">
        <v>434</v>
      </c>
      <c r="J553" t="s">
        <v>1481</v>
      </c>
    </row>
    <row r="554" spans="1:10" x14ac:dyDescent="0.35">
      <c r="A554" t="s">
        <v>1482</v>
      </c>
      <c r="B554" t="s">
        <v>10</v>
      </c>
      <c r="C554" t="s">
        <v>22</v>
      </c>
      <c r="D554">
        <v>61.49</v>
      </c>
      <c r="E554">
        <v>4</v>
      </c>
      <c r="F554" s="6">
        <v>28.71</v>
      </c>
      <c r="G554" s="4">
        <v>49.23</v>
      </c>
      <c r="H554" t="s">
        <v>82</v>
      </c>
      <c r="I554" t="s">
        <v>33</v>
      </c>
      <c r="J554" t="s">
        <v>1483</v>
      </c>
    </row>
    <row r="555" spans="1:10" x14ac:dyDescent="0.35">
      <c r="A555" t="s">
        <v>1484</v>
      </c>
      <c r="B555" t="s">
        <v>10</v>
      </c>
      <c r="C555" t="s">
        <v>47</v>
      </c>
      <c r="D555">
        <v>285.64</v>
      </c>
      <c r="E555">
        <v>5</v>
      </c>
      <c r="F555" s="6">
        <v>36.99</v>
      </c>
      <c r="G555" s="4">
        <v>41.69</v>
      </c>
      <c r="H555" t="s">
        <v>1485</v>
      </c>
      <c r="I555" t="s">
        <v>762</v>
      </c>
      <c r="J555" t="s">
        <v>1486</v>
      </c>
    </row>
    <row r="556" spans="1:10" x14ac:dyDescent="0.35">
      <c r="A556" t="s">
        <v>1487</v>
      </c>
      <c r="B556" t="s">
        <v>10</v>
      </c>
      <c r="C556" t="s">
        <v>22</v>
      </c>
      <c r="D556">
        <v>472.25</v>
      </c>
      <c r="E556">
        <v>4</v>
      </c>
      <c r="F556" s="6">
        <v>32.47</v>
      </c>
      <c r="G556" s="4">
        <v>52.82</v>
      </c>
      <c r="H556" t="s">
        <v>809</v>
      </c>
      <c r="I556" t="s">
        <v>52</v>
      </c>
      <c r="J556" t="s">
        <v>1488</v>
      </c>
    </row>
    <row r="557" spans="1:10" x14ac:dyDescent="0.35">
      <c r="A557" t="s">
        <v>1489</v>
      </c>
      <c r="B557" t="s">
        <v>10</v>
      </c>
      <c r="C557" t="s">
        <v>22</v>
      </c>
      <c r="D557">
        <v>94.75</v>
      </c>
      <c r="E557">
        <v>4</v>
      </c>
      <c r="F557" s="6">
        <v>32.99</v>
      </c>
      <c r="G557" s="4">
        <v>76</v>
      </c>
      <c r="H557" t="s">
        <v>48</v>
      </c>
      <c r="I557" t="s">
        <v>530</v>
      </c>
      <c r="J557" t="s">
        <v>1490</v>
      </c>
    </row>
    <row r="558" spans="1:10" x14ac:dyDescent="0.35">
      <c r="A558" t="s">
        <v>1491</v>
      </c>
      <c r="B558" t="s">
        <v>10</v>
      </c>
      <c r="C558" t="s">
        <v>22</v>
      </c>
      <c r="D558">
        <v>145.59</v>
      </c>
      <c r="E558">
        <v>4</v>
      </c>
      <c r="F558" s="6">
        <v>20.83</v>
      </c>
      <c r="G558" s="4">
        <v>52.85</v>
      </c>
      <c r="H558" t="s">
        <v>1175</v>
      </c>
      <c r="I558" t="s">
        <v>572</v>
      </c>
      <c r="J558" t="s">
        <v>1492</v>
      </c>
    </row>
    <row r="559" spans="1:10" x14ac:dyDescent="0.35">
      <c r="A559" t="s">
        <v>1493</v>
      </c>
      <c r="B559" t="s">
        <v>42</v>
      </c>
      <c r="C559" t="s">
        <v>89</v>
      </c>
      <c r="D559">
        <v>184.6</v>
      </c>
      <c r="E559">
        <v>4</v>
      </c>
      <c r="F559" s="6">
        <v>41.64</v>
      </c>
      <c r="G559" s="4">
        <v>47.29</v>
      </c>
      <c r="H559" t="s">
        <v>621</v>
      </c>
      <c r="I559" t="s">
        <v>1485</v>
      </c>
      <c r="J559" t="s">
        <v>1494</v>
      </c>
    </row>
    <row r="560" spans="1:10" x14ac:dyDescent="0.35">
      <c r="A560" t="s">
        <v>1495</v>
      </c>
      <c r="B560" t="s">
        <v>42</v>
      </c>
      <c r="C560" t="s">
        <v>17</v>
      </c>
      <c r="D560">
        <v>251.04</v>
      </c>
      <c r="E560">
        <v>4</v>
      </c>
      <c r="F560" s="6">
        <v>40.53</v>
      </c>
      <c r="G560" s="4">
        <v>19.399999999999999</v>
      </c>
      <c r="H560" t="s">
        <v>342</v>
      </c>
      <c r="I560" t="s">
        <v>991</v>
      </c>
      <c r="J560" t="s">
        <v>1496</v>
      </c>
    </row>
    <row r="561" spans="1:10" x14ac:dyDescent="0.35">
      <c r="A561" t="s">
        <v>1497</v>
      </c>
      <c r="B561" t="s">
        <v>42</v>
      </c>
      <c r="C561" t="s">
        <v>11</v>
      </c>
      <c r="D561">
        <v>308.57</v>
      </c>
      <c r="E561">
        <v>4</v>
      </c>
      <c r="F561" s="6">
        <v>8.92</v>
      </c>
      <c r="G561" s="4">
        <v>94.39</v>
      </c>
      <c r="H561" t="s">
        <v>604</v>
      </c>
      <c r="I561" t="s">
        <v>462</v>
      </c>
      <c r="J561" t="s">
        <v>1498</v>
      </c>
    </row>
    <row r="562" spans="1:10" x14ac:dyDescent="0.35">
      <c r="A562" t="s">
        <v>1499</v>
      </c>
      <c r="B562" t="s">
        <v>42</v>
      </c>
      <c r="C562" t="s">
        <v>89</v>
      </c>
      <c r="D562">
        <v>425.69</v>
      </c>
      <c r="E562">
        <v>4</v>
      </c>
      <c r="F562" s="6">
        <v>46.68</v>
      </c>
      <c r="G562" s="4">
        <v>43.88</v>
      </c>
      <c r="H562" t="s">
        <v>590</v>
      </c>
      <c r="I562" t="s">
        <v>1304</v>
      </c>
      <c r="J562" t="s">
        <v>1500</v>
      </c>
    </row>
    <row r="563" spans="1:10" x14ac:dyDescent="0.35">
      <c r="A563" t="s">
        <v>1501</v>
      </c>
      <c r="B563" t="s">
        <v>16</v>
      </c>
      <c r="C563" t="s">
        <v>37</v>
      </c>
      <c r="D563">
        <v>286.48</v>
      </c>
      <c r="E563">
        <v>3</v>
      </c>
      <c r="F563" s="6">
        <v>35.119999999999997</v>
      </c>
      <c r="G563" s="4">
        <v>48.49</v>
      </c>
      <c r="H563" t="s">
        <v>91</v>
      </c>
      <c r="I563" t="s">
        <v>213</v>
      </c>
      <c r="J563" t="s">
        <v>1502</v>
      </c>
    </row>
    <row r="564" spans="1:10" x14ac:dyDescent="0.35">
      <c r="A564" t="s">
        <v>1503</v>
      </c>
      <c r="B564" t="s">
        <v>10</v>
      </c>
      <c r="C564" t="s">
        <v>89</v>
      </c>
      <c r="D564">
        <v>499.21</v>
      </c>
      <c r="E564">
        <v>4</v>
      </c>
      <c r="F564" s="6">
        <v>22.9</v>
      </c>
      <c r="G564" s="4">
        <v>34.159999999999997</v>
      </c>
      <c r="H564" t="s">
        <v>28</v>
      </c>
      <c r="I564" t="s">
        <v>784</v>
      </c>
      <c r="J564" t="s">
        <v>1504</v>
      </c>
    </row>
    <row r="565" spans="1:10" x14ac:dyDescent="0.35">
      <c r="A565" t="s">
        <v>1505</v>
      </c>
      <c r="B565" t="s">
        <v>16</v>
      </c>
      <c r="C565" t="s">
        <v>11</v>
      </c>
      <c r="D565">
        <v>108.77</v>
      </c>
      <c r="E565">
        <v>4</v>
      </c>
      <c r="F565" s="6">
        <v>28.37</v>
      </c>
      <c r="G565" s="4">
        <v>26.52</v>
      </c>
      <c r="H565" t="s">
        <v>571</v>
      </c>
      <c r="I565" t="s">
        <v>497</v>
      </c>
      <c r="J565" t="s">
        <v>1506</v>
      </c>
    </row>
    <row r="566" spans="1:10" x14ac:dyDescent="0.35">
      <c r="A566" t="s">
        <v>1507</v>
      </c>
      <c r="B566" t="s">
        <v>42</v>
      </c>
      <c r="C566" t="s">
        <v>37</v>
      </c>
      <c r="D566">
        <v>148.18</v>
      </c>
      <c r="E566">
        <v>5</v>
      </c>
      <c r="F566" s="6">
        <v>24.96</v>
      </c>
      <c r="G566" s="4">
        <v>79.739999999999995</v>
      </c>
      <c r="H566" t="s">
        <v>480</v>
      </c>
      <c r="I566" t="s">
        <v>717</v>
      </c>
      <c r="J566" t="s">
        <v>1508</v>
      </c>
    </row>
    <row r="567" spans="1:10" x14ac:dyDescent="0.35">
      <c r="A567" t="s">
        <v>1509</v>
      </c>
      <c r="B567" t="s">
        <v>42</v>
      </c>
      <c r="C567" t="s">
        <v>89</v>
      </c>
      <c r="D567">
        <v>240.69</v>
      </c>
      <c r="E567">
        <v>5</v>
      </c>
      <c r="F567" s="6">
        <v>23.77</v>
      </c>
      <c r="G567" s="4">
        <v>17.420000000000002</v>
      </c>
      <c r="H567" t="s">
        <v>74</v>
      </c>
      <c r="I567" t="s">
        <v>75</v>
      </c>
      <c r="J567" t="s">
        <v>1510</v>
      </c>
    </row>
    <row r="568" spans="1:10" x14ac:dyDescent="0.35">
      <c r="A568" t="s">
        <v>1511</v>
      </c>
      <c r="B568" t="s">
        <v>42</v>
      </c>
      <c r="C568" t="s">
        <v>11</v>
      </c>
      <c r="D568">
        <v>272.58999999999997</v>
      </c>
      <c r="E568">
        <v>3</v>
      </c>
      <c r="F568" s="6">
        <v>37.04</v>
      </c>
      <c r="G568" s="4">
        <v>88.73</v>
      </c>
      <c r="H568" t="s">
        <v>236</v>
      </c>
      <c r="I568" t="s">
        <v>480</v>
      </c>
      <c r="J568" t="s">
        <v>1512</v>
      </c>
    </row>
    <row r="569" spans="1:10" x14ac:dyDescent="0.35">
      <c r="A569" t="s">
        <v>1513</v>
      </c>
      <c r="B569" t="s">
        <v>10</v>
      </c>
      <c r="C569" t="s">
        <v>27</v>
      </c>
      <c r="D569">
        <v>362.96</v>
      </c>
      <c r="E569">
        <v>5</v>
      </c>
      <c r="F569" s="6">
        <v>43.88</v>
      </c>
      <c r="G569" s="4">
        <v>55.34</v>
      </c>
      <c r="H569" t="s">
        <v>1037</v>
      </c>
      <c r="I569" t="s">
        <v>510</v>
      </c>
      <c r="J569" t="s">
        <v>1514</v>
      </c>
    </row>
    <row r="570" spans="1:10" x14ac:dyDescent="0.35">
      <c r="A570" t="s">
        <v>1515</v>
      </c>
      <c r="B570" t="s">
        <v>10</v>
      </c>
      <c r="C570" t="s">
        <v>56</v>
      </c>
      <c r="D570">
        <v>363.15</v>
      </c>
      <c r="E570">
        <v>4</v>
      </c>
      <c r="F570" s="6">
        <v>28.21</v>
      </c>
      <c r="G570" s="4">
        <v>69.37</v>
      </c>
      <c r="H570" t="s">
        <v>484</v>
      </c>
      <c r="I570" t="s">
        <v>249</v>
      </c>
      <c r="J570" t="s">
        <v>1516</v>
      </c>
    </row>
    <row r="571" spans="1:10" x14ac:dyDescent="0.35">
      <c r="A571" t="s">
        <v>1517</v>
      </c>
      <c r="B571" t="s">
        <v>16</v>
      </c>
      <c r="C571" t="s">
        <v>61</v>
      </c>
      <c r="D571">
        <v>253.43</v>
      </c>
      <c r="E571">
        <v>4</v>
      </c>
      <c r="F571" s="6">
        <v>44.55</v>
      </c>
      <c r="G571" s="4">
        <v>21.36</v>
      </c>
      <c r="H571" t="s">
        <v>523</v>
      </c>
      <c r="I571" t="s">
        <v>114</v>
      </c>
      <c r="J571" t="s">
        <v>1518</v>
      </c>
    </row>
    <row r="572" spans="1:10" x14ac:dyDescent="0.35">
      <c r="A572" t="s">
        <v>1519</v>
      </c>
      <c r="B572" t="s">
        <v>10</v>
      </c>
      <c r="C572" t="s">
        <v>89</v>
      </c>
      <c r="D572">
        <v>150.27000000000001</v>
      </c>
      <c r="E572">
        <v>5</v>
      </c>
      <c r="F572" s="6">
        <v>9.36</v>
      </c>
      <c r="G572" s="4">
        <v>31.78</v>
      </c>
      <c r="H572" t="s">
        <v>146</v>
      </c>
      <c r="I572" t="s">
        <v>925</v>
      </c>
      <c r="J572" t="s">
        <v>1520</v>
      </c>
    </row>
    <row r="573" spans="1:10" x14ac:dyDescent="0.35">
      <c r="A573" t="s">
        <v>1521</v>
      </c>
      <c r="B573" t="s">
        <v>10</v>
      </c>
      <c r="C573" t="s">
        <v>61</v>
      </c>
      <c r="D573">
        <v>450.87</v>
      </c>
      <c r="E573">
        <v>3</v>
      </c>
      <c r="F573" s="6">
        <v>32.619999999999997</v>
      </c>
      <c r="G573" s="4">
        <v>52.14</v>
      </c>
      <c r="H573" t="s">
        <v>1522</v>
      </c>
      <c r="I573" t="s">
        <v>578</v>
      </c>
      <c r="J573" t="s">
        <v>1106</v>
      </c>
    </row>
    <row r="574" spans="1:10" x14ac:dyDescent="0.35">
      <c r="A574" t="s">
        <v>1523</v>
      </c>
      <c r="B574" t="s">
        <v>16</v>
      </c>
      <c r="C574" t="s">
        <v>61</v>
      </c>
      <c r="D574">
        <v>149.11000000000001</v>
      </c>
      <c r="E574">
        <v>4</v>
      </c>
      <c r="F574" s="6">
        <v>15.99</v>
      </c>
      <c r="G574" s="4">
        <v>58.07</v>
      </c>
      <c r="H574" t="s">
        <v>71</v>
      </c>
      <c r="I574" t="s">
        <v>370</v>
      </c>
      <c r="J574" t="s">
        <v>1524</v>
      </c>
    </row>
    <row r="575" spans="1:10" x14ac:dyDescent="0.35">
      <c r="A575" t="s">
        <v>1525</v>
      </c>
      <c r="B575" t="s">
        <v>42</v>
      </c>
      <c r="C575" t="s">
        <v>61</v>
      </c>
      <c r="D575">
        <v>472.1</v>
      </c>
      <c r="E575">
        <v>5</v>
      </c>
      <c r="F575" s="6">
        <v>15.79</v>
      </c>
      <c r="G575" s="4">
        <v>66.510000000000005</v>
      </c>
      <c r="H575" t="s">
        <v>241</v>
      </c>
      <c r="I575" t="s">
        <v>1119</v>
      </c>
      <c r="J575" t="s">
        <v>1526</v>
      </c>
    </row>
    <row r="576" spans="1:10" x14ac:dyDescent="0.35">
      <c r="A576" t="s">
        <v>1527</v>
      </c>
      <c r="B576" t="s">
        <v>10</v>
      </c>
      <c r="C576" t="s">
        <v>61</v>
      </c>
      <c r="D576">
        <v>394.65</v>
      </c>
      <c r="E576">
        <v>5</v>
      </c>
      <c r="F576" s="6">
        <v>18.670000000000002</v>
      </c>
      <c r="G576" s="4">
        <v>12.39</v>
      </c>
      <c r="H576" t="s">
        <v>284</v>
      </c>
      <c r="I576" t="s">
        <v>206</v>
      </c>
      <c r="J576" t="s">
        <v>1528</v>
      </c>
    </row>
    <row r="577" spans="1:10" x14ac:dyDescent="0.35">
      <c r="A577" t="s">
        <v>1529</v>
      </c>
      <c r="B577" t="s">
        <v>16</v>
      </c>
      <c r="C577" t="s">
        <v>32</v>
      </c>
      <c r="D577">
        <v>258.26</v>
      </c>
      <c r="E577">
        <v>4</v>
      </c>
      <c r="F577" s="6">
        <v>3.79</v>
      </c>
      <c r="G577" s="4">
        <v>31.81</v>
      </c>
      <c r="H577" t="s">
        <v>358</v>
      </c>
      <c r="I577" t="s">
        <v>898</v>
      </c>
      <c r="J577" t="s">
        <v>1530</v>
      </c>
    </row>
    <row r="578" spans="1:10" x14ac:dyDescent="0.35">
      <c r="A578" t="s">
        <v>1531</v>
      </c>
      <c r="B578" t="s">
        <v>10</v>
      </c>
      <c r="C578" t="s">
        <v>11</v>
      </c>
      <c r="D578">
        <v>429.5</v>
      </c>
      <c r="E578">
        <v>5</v>
      </c>
      <c r="F578" s="6">
        <v>40.03</v>
      </c>
      <c r="G578" s="4">
        <v>57.89</v>
      </c>
      <c r="H578" t="s">
        <v>29</v>
      </c>
      <c r="I578" t="s">
        <v>739</v>
      </c>
      <c r="J578" t="s">
        <v>1532</v>
      </c>
    </row>
    <row r="579" spans="1:10" x14ac:dyDescent="0.35">
      <c r="A579" t="s">
        <v>1533</v>
      </c>
      <c r="B579" t="s">
        <v>42</v>
      </c>
      <c r="C579" t="s">
        <v>47</v>
      </c>
      <c r="D579">
        <v>351</v>
      </c>
      <c r="E579">
        <v>4</v>
      </c>
      <c r="F579" s="6">
        <v>14.89</v>
      </c>
      <c r="G579" s="4">
        <v>47.93</v>
      </c>
      <c r="H579" t="s">
        <v>18</v>
      </c>
      <c r="I579" t="s">
        <v>996</v>
      </c>
      <c r="J579" t="s">
        <v>1534</v>
      </c>
    </row>
    <row r="580" spans="1:10" x14ac:dyDescent="0.35">
      <c r="A580" t="s">
        <v>1535</v>
      </c>
      <c r="B580" t="s">
        <v>10</v>
      </c>
      <c r="C580" t="s">
        <v>37</v>
      </c>
      <c r="D580">
        <v>277.16000000000003</v>
      </c>
      <c r="E580">
        <v>5</v>
      </c>
      <c r="F580" s="6">
        <v>1.52</v>
      </c>
      <c r="G580" s="4">
        <v>72.5</v>
      </c>
      <c r="H580" t="s">
        <v>1038</v>
      </c>
      <c r="I580" t="s">
        <v>380</v>
      </c>
      <c r="J580" t="s">
        <v>1536</v>
      </c>
    </row>
    <row r="581" spans="1:10" x14ac:dyDescent="0.35">
      <c r="A581" t="s">
        <v>1537</v>
      </c>
      <c r="B581" t="s">
        <v>42</v>
      </c>
      <c r="C581" t="s">
        <v>56</v>
      </c>
      <c r="D581">
        <v>155.47</v>
      </c>
      <c r="E581">
        <v>5</v>
      </c>
      <c r="F581" s="6">
        <v>31.48</v>
      </c>
      <c r="G581" s="4">
        <v>13.37</v>
      </c>
      <c r="H581" t="s">
        <v>558</v>
      </c>
      <c r="I581" t="s">
        <v>233</v>
      </c>
      <c r="J581" t="s">
        <v>1538</v>
      </c>
    </row>
    <row r="582" spans="1:10" x14ac:dyDescent="0.35">
      <c r="A582" t="s">
        <v>1539</v>
      </c>
      <c r="B582" t="s">
        <v>16</v>
      </c>
      <c r="C582" t="s">
        <v>11</v>
      </c>
      <c r="D582">
        <v>151.75</v>
      </c>
      <c r="E582">
        <v>3</v>
      </c>
      <c r="F582" s="6">
        <v>29.45</v>
      </c>
      <c r="G582" s="4">
        <v>91.91</v>
      </c>
      <c r="H582" t="s">
        <v>348</v>
      </c>
      <c r="I582" t="s">
        <v>578</v>
      </c>
      <c r="J582" t="s">
        <v>1540</v>
      </c>
    </row>
    <row r="583" spans="1:10" x14ac:dyDescent="0.35">
      <c r="A583" t="s">
        <v>1541</v>
      </c>
      <c r="B583" t="s">
        <v>42</v>
      </c>
      <c r="C583" t="s">
        <v>37</v>
      </c>
      <c r="D583">
        <v>71.42</v>
      </c>
      <c r="E583">
        <v>5</v>
      </c>
      <c r="F583" s="6">
        <v>27.77</v>
      </c>
      <c r="G583" s="4">
        <v>74.27</v>
      </c>
      <c r="H583" t="s">
        <v>62</v>
      </c>
      <c r="I583" t="s">
        <v>621</v>
      </c>
      <c r="J583" t="s">
        <v>1542</v>
      </c>
    </row>
    <row r="584" spans="1:10" x14ac:dyDescent="0.35">
      <c r="A584" t="s">
        <v>1543</v>
      </c>
      <c r="B584" t="s">
        <v>10</v>
      </c>
      <c r="C584" t="s">
        <v>22</v>
      </c>
      <c r="D584">
        <v>466.2</v>
      </c>
      <c r="E584">
        <v>4</v>
      </c>
      <c r="F584" s="6">
        <v>9.0299999999999994</v>
      </c>
      <c r="G584" s="4">
        <v>35.89</v>
      </c>
      <c r="H584" t="s">
        <v>1192</v>
      </c>
      <c r="I584" t="s">
        <v>192</v>
      </c>
      <c r="J584" t="s">
        <v>1544</v>
      </c>
    </row>
    <row r="585" spans="1:10" x14ac:dyDescent="0.35">
      <c r="A585" t="s">
        <v>1545</v>
      </c>
      <c r="B585" t="s">
        <v>16</v>
      </c>
      <c r="C585" t="s">
        <v>47</v>
      </c>
      <c r="D585">
        <v>370.59</v>
      </c>
      <c r="E585">
        <v>3</v>
      </c>
      <c r="F585" s="6">
        <v>18.48</v>
      </c>
      <c r="G585" s="4">
        <v>86.14</v>
      </c>
      <c r="H585" t="s">
        <v>590</v>
      </c>
      <c r="I585" t="s">
        <v>1095</v>
      </c>
      <c r="J585" t="s">
        <v>1546</v>
      </c>
    </row>
    <row r="586" spans="1:10" x14ac:dyDescent="0.35">
      <c r="A586" t="s">
        <v>1547</v>
      </c>
      <c r="B586" t="s">
        <v>10</v>
      </c>
      <c r="C586" t="s">
        <v>17</v>
      </c>
      <c r="D586">
        <v>404.77</v>
      </c>
      <c r="E586">
        <v>3</v>
      </c>
      <c r="F586" s="6">
        <v>19.329999999999998</v>
      </c>
      <c r="G586" s="4">
        <v>32.51</v>
      </c>
      <c r="H586" t="s">
        <v>396</v>
      </c>
      <c r="I586" t="s">
        <v>639</v>
      </c>
      <c r="J586" t="s">
        <v>1548</v>
      </c>
    </row>
    <row r="587" spans="1:10" x14ac:dyDescent="0.35">
      <c r="A587" t="s">
        <v>1549</v>
      </c>
      <c r="B587" t="s">
        <v>16</v>
      </c>
      <c r="C587" t="s">
        <v>89</v>
      </c>
      <c r="D587">
        <v>208.83</v>
      </c>
      <c r="E587">
        <v>3</v>
      </c>
      <c r="F587" s="6">
        <v>14.35</v>
      </c>
      <c r="G587" s="4">
        <v>34.46</v>
      </c>
      <c r="H587" t="s">
        <v>437</v>
      </c>
      <c r="I587" t="s">
        <v>523</v>
      </c>
      <c r="J587" t="s">
        <v>1550</v>
      </c>
    </row>
    <row r="588" spans="1:10" x14ac:dyDescent="0.35">
      <c r="A588" t="s">
        <v>1551</v>
      </c>
      <c r="B588" t="s">
        <v>42</v>
      </c>
      <c r="C588" t="s">
        <v>89</v>
      </c>
      <c r="D588">
        <v>101.39</v>
      </c>
      <c r="E588">
        <v>4</v>
      </c>
      <c r="F588" s="6">
        <v>10.44</v>
      </c>
      <c r="G588" s="4">
        <v>46.6</v>
      </c>
      <c r="H588" t="s">
        <v>12</v>
      </c>
      <c r="I588" t="s">
        <v>1552</v>
      </c>
      <c r="J588" t="s">
        <v>1553</v>
      </c>
    </row>
    <row r="589" spans="1:10" x14ac:dyDescent="0.35">
      <c r="A589" t="s">
        <v>1554</v>
      </c>
      <c r="B589" t="s">
        <v>16</v>
      </c>
      <c r="C589" t="s">
        <v>61</v>
      </c>
      <c r="D589">
        <v>95.47</v>
      </c>
      <c r="E589">
        <v>5</v>
      </c>
      <c r="F589" s="6">
        <v>43.03</v>
      </c>
      <c r="G589" s="4">
        <v>15.03</v>
      </c>
      <c r="H589" t="s">
        <v>733</v>
      </c>
      <c r="I589" t="s">
        <v>205</v>
      </c>
      <c r="J589" t="s">
        <v>1555</v>
      </c>
    </row>
    <row r="590" spans="1:10" x14ac:dyDescent="0.35">
      <c r="A590" t="s">
        <v>1556</v>
      </c>
      <c r="B590" t="s">
        <v>42</v>
      </c>
      <c r="C590" t="s">
        <v>61</v>
      </c>
      <c r="D590">
        <v>353.39</v>
      </c>
      <c r="E590">
        <v>5</v>
      </c>
      <c r="F590" s="6">
        <v>46.13</v>
      </c>
      <c r="G590" s="4">
        <v>52.17</v>
      </c>
      <c r="H590" t="s">
        <v>237</v>
      </c>
      <c r="I590" t="s">
        <v>401</v>
      </c>
      <c r="J590" t="s">
        <v>1557</v>
      </c>
    </row>
    <row r="591" spans="1:10" x14ac:dyDescent="0.35">
      <c r="A591" t="s">
        <v>1558</v>
      </c>
      <c r="B591" t="s">
        <v>42</v>
      </c>
      <c r="C591" t="s">
        <v>32</v>
      </c>
      <c r="D591">
        <v>452.36</v>
      </c>
      <c r="E591">
        <v>3</v>
      </c>
      <c r="F591" s="6">
        <v>10.11</v>
      </c>
      <c r="G591" s="4">
        <v>81.02</v>
      </c>
      <c r="H591" t="s">
        <v>417</v>
      </c>
      <c r="I591" t="s">
        <v>43</v>
      </c>
      <c r="J591" t="s">
        <v>1559</v>
      </c>
    </row>
    <row r="592" spans="1:10" x14ac:dyDescent="0.35">
      <c r="A592" t="s">
        <v>1560</v>
      </c>
      <c r="B592" t="s">
        <v>42</v>
      </c>
      <c r="C592" t="s">
        <v>27</v>
      </c>
      <c r="D592">
        <v>114.26</v>
      </c>
      <c r="E592">
        <v>4</v>
      </c>
      <c r="F592" s="6">
        <v>37.630000000000003</v>
      </c>
      <c r="G592" s="4">
        <v>38.270000000000003</v>
      </c>
      <c r="H592" t="s">
        <v>945</v>
      </c>
      <c r="I592" t="s">
        <v>558</v>
      </c>
      <c r="J592" t="s">
        <v>1561</v>
      </c>
    </row>
    <row r="593" spans="1:10" x14ac:dyDescent="0.35">
      <c r="A593" t="s">
        <v>1562</v>
      </c>
      <c r="B593" t="s">
        <v>10</v>
      </c>
      <c r="C593" t="s">
        <v>22</v>
      </c>
      <c r="D593">
        <v>56.05</v>
      </c>
      <c r="E593">
        <v>5</v>
      </c>
      <c r="F593" s="6">
        <v>40.57</v>
      </c>
      <c r="G593" s="4">
        <v>83.11</v>
      </c>
      <c r="H593" t="s">
        <v>561</v>
      </c>
      <c r="I593" t="s">
        <v>730</v>
      </c>
      <c r="J593" t="s">
        <v>1563</v>
      </c>
    </row>
    <row r="594" spans="1:10" x14ac:dyDescent="0.35">
      <c r="A594" t="s">
        <v>1564</v>
      </c>
      <c r="B594" t="s">
        <v>16</v>
      </c>
      <c r="C594" t="s">
        <v>32</v>
      </c>
      <c r="D594">
        <v>252.62</v>
      </c>
      <c r="E594">
        <v>5</v>
      </c>
      <c r="F594" s="6">
        <v>6.51</v>
      </c>
      <c r="G594" s="4">
        <v>13.23</v>
      </c>
      <c r="H594" t="s">
        <v>1013</v>
      </c>
      <c r="I594" t="s">
        <v>880</v>
      </c>
      <c r="J594" t="s">
        <v>1565</v>
      </c>
    </row>
    <row r="595" spans="1:10" x14ac:dyDescent="0.35">
      <c r="A595" t="s">
        <v>1566</v>
      </c>
      <c r="B595" t="s">
        <v>42</v>
      </c>
      <c r="C595" t="s">
        <v>61</v>
      </c>
      <c r="D595">
        <v>490.28</v>
      </c>
      <c r="E595">
        <v>3</v>
      </c>
      <c r="F595" s="6">
        <v>5.81</v>
      </c>
      <c r="G595" s="4">
        <v>93.63</v>
      </c>
      <c r="H595" t="s">
        <v>610</v>
      </c>
      <c r="I595" t="s">
        <v>527</v>
      </c>
      <c r="J595" t="s">
        <v>1567</v>
      </c>
    </row>
    <row r="596" spans="1:10" x14ac:dyDescent="0.35">
      <c r="A596" t="s">
        <v>1568</v>
      </c>
      <c r="B596" t="s">
        <v>16</v>
      </c>
      <c r="C596" t="s">
        <v>47</v>
      </c>
      <c r="D596">
        <v>189.12</v>
      </c>
      <c r="E596">
        <v>4</v>
      </c>
      <c r="F596" s="6">
        <v>29.43</v>
      </c>
      <c r="G596" s="4">
        <v>43.73</v>
      </c>
      <c r="H596" t="s">
        <v>513</v>
      </c>
      <c r="I596" t="s">
        <v>423</v>
      </c>
      <c r="J596" t="s">
        <v>1569</v>
      </c>
    </row>
    <row r="597" spans="1:10" x14ac:dyDescent="0.35">
      <c r="A597" t="s">
        <v>1570</v>
      </c>
      <c r="B597" t="s">
        <v>16</v>
      </c>
      <c r="C597" t="s">
        <v>37</v>
      </c>
      <c r="D597">
        <v>369.37</v>
      </c>
      <c r="E597">
        <v>4</v>
      </c>
      <c r="F597" s="6">
        <v>6.06</v>
      </c>
      <c r="G597" s="4">
        <v>36.950000000000003</v>
      </c>
      <c r="H597" t="s">
        <v>1068</v>
      </c>
      <c r="I597" t="s">
        <v>373</v>
      </c>
      <c r="J597" t="s">
        <v>1571</v>
      </c>
    </row>
    <row r="598" spans="1:10" x14ac:dyDescent="0.35">
      <c r="A598" t="s">
        <v>1572</v>
      </c>
      <c r="B598" t="s">
        <v>16</v>
      </c>
      <c r="C598" t="s">
        <v>27</v>
      </c>
      <c r="D598">
        <v>234.71</v>
      </c>
      <c r="E598">
        <v>5</v>
      </c>
      <c r="F598" s="6">
        <v>45.65</v>
      </c>
      <c r="G598" s="4">
        <v>99.63</v>
      </c>
      <c r="H598" t="s">
        <v>305</v>
      </c>
      <c r="I598" t="s">
        <v>202</v>
      </c>
      <c r="J598" t="s">
        <v>1573</v>
      </c>
    </row>
    <row r="599" spans="1:10" x14ac:dyDescent="0.35">
      <c r="A599" t="s">
        <v>1574</v>
      </c>
      <c r="B599" t="s">
        <v>10</v>
      </c>
      <c r="C599" t="s">
        <v>47</v>
      </c>
      <c r="D599">
        <v>409.53</v>
      </c>
      <c r="E599">
        <v>5</v>
      </c>
      <c r="F599" s="6">
        <v>26.53</v>
      </c>
      <c r="G599" s="4">
        <v>25.35</v>
      </c>
      <c r="H599" t="s">
        <v>345</v>
      </c>
      <c r="I599" t="s">
        <v>315</v>
      </c>
      <c r="J599" t="s">
        <v>1575</v>
      </c>
    </row>
    <row r="600" spans="1:10" x14ac:dyDescent="0.35">
      <c r="A600" t="s">
        <v>1576</v>
      </c>
      <c r="B600" t="s">
        <v>42</v>
      </c>
      <c r="C600" t="s">
        <v>56</v>
      </c>
      <c r="D600">
        <v>382.28</v>
      </c>
      <c r="E600">
        <v>5</v>
      </c>
      <c r="F600" s="6">
        <v>23.03</v>
      </c>
      <c r="G600" s="4">
        <v>25.33</v>
      </c>
      <c r="H600" t="s">
        <v>358</v>
      </c>
      <c r="I600" t="s">
        <v>359</v>
      </c>
      <c r="J600" t="s">
        <v>1577</v>
      </c>
    </row>
    <row r="601" spans="1:10" x14ac:dyDescent="0.35">
      <c r="A601" t="s">
        <v>1578</v>
      </c>
      <c r="B601" t="s">
        <v>10</v>
      </c>
      <c r="C601" t="s">
        <v>32</v>
      </c>
      <c r="D601">
        <v>445.44</v>
      </c>
      <c r="E601">
        <v>3</v>
      </c>
      <c r="F601" s="6">
        <v>44.36</v>
      </c>
      <c r="G601" s="4">
        <v>54.28</v>
      </c>
      <c r="H601" t="s">
        <v>1267</v>
      </c>
      <c r="I601" t="s">
        <v>519</v>
      </c>
      <c r="J601" t="s">
        <v>1579</v>
      </c>
    </row>
    <row r="602" spans="1:10" x14ac:dyDescent="0.35">
      <c r="A602" t="s">
        <v>1580</v>
      </c>
      <c r="B602" t="s">
        <v>10</v>
      </c>
      <c r="C602" t="s">
        <v>17</v>
      </c>
      <c r="D602">
        <v>214.44</v>
      </c>
      <c r="E602">
        <v>5</v>
      </c>
      <c r="F602" s="6">
        <v>49.8</v>
      </c>
      <c r="G602" s="4">
        <v>68.349999999999994</v>
      </c>
      <c r="H602" t="s">
        <v>594</v>
      </c>
      <c r="I602" t="s">
        <v>75</v>
      </c>
      <c r="J602" t="s">
        <v>1581</v>
      </c>
    </row>
    <row r="603" spans="1:10" x14ac:dyDescent="0.35">
      <c r="A603" t="s">
        <v>1582</v>
      </c>
      <c r="B603" t="s">
        <v>10</v>
      </c>
      <c r="C603" t="s">
        <v>61</v>
      </c>
      <c r="D603">
        <v>205.14</v>
      </c>
      <c r="E603">
        <v>4</v>
      </c>
      <c r="F603" s="6">
        <v>48.4</v>
      </c>
      <c r="G603" s="4">
        <v>87.8</v>
      </c>
      <c r="H603" t="s">
        <v>391</v>
      </c>
      <c r="I603" t="s">
        <v>516</v>
      </c>
      <c r="J603" t="s">
        <v>1583</v>
      </c>
    </row>
    <row r="604" spans="1:10" x14ac:dyDescent="0.35">
      <c r="A604" t="s">
        <v>1584</v>
      </c>
      <c r="B604" t="s">
        <v>16</v>
      </c>
      <c r="C604" t="s">
        <v>32</v>
      </c>
      <c r="D604">
        <v>322.45</v>
      </c>
      <c r="E604">
        <v>4</v>
      </c>
      <c r="F604" s="6">
        <v>35.479999999999997</v>
      </c>
      <c r="G604" s="4">
        <v>88.06</v>
      </c>
      <c r="H604" t="s">
        <v>429</v>
      </c>
      <c r="I604" t="s">
        <v>370</v>
      </c>
      <c r="J604" t="s">
        <v>1585</v>
      </c>
    </row>
    <row r="605" spans="1:10" x14ac:dyDescent="0.35">
      <c r="A605" t="s">
        <v>1586</v>
      </c>
      <c r="B605" t="s">
        <v>10</v>
      </c>
      <c r="C605" t="s">
        <v>17</v>
      </c>
      <c r="D605">
        <v>107.01</v>
      </c>
      <c r="E605">
        <v>5</v>
      </c>
      <c r="F605" s="6">
        <v>45.26</v>
      </c>
      <c r="G605" s="4">
        <v>28.17</v>
      </c>
      <c r="H605" t="s">
        <v>1387</v>
      </c>
      <c r="I605" t="s">
        <v>373</v>
      </c>
      <c r="J605" t="s">
        <v>1587</v>
      </c>
    </row>
    <row r="606" spans="1:10" x14ac:dyDescent="0.35">
      <c r="A606" t="s">
        <v>1588</v>
      </c>
      <c r="B606" t="s">
        <v>10</v>
      </c>
      <c r="C606" t="s">
        <v>56</v>
      </c>
      <c r="D606">
        <v>267.70999999999998</v>
      </c>
      <c r="E606">
        <v>4</v>
      </c>
      <c r="F606" s="6">
        <v>36.299999999999997</v>
      </c>
      <c r="G606" s="4">
        <v>25.02</v>
      </c>
      <c r="H606" t="s">
        <v>175</v>
      </c>
      <c r="I606" t="s">
        <v>79</v>
      </c>
      <c r="J606" t="s">
        <v>1589</v>
      </c>
    </row>
    <row r="607" spans="1:10" x14ac:dyDescent="0.35">
      <c r="A607" t="s">
        <v>1590</v>
      </c>
      <c r="B607" t="s">
        <v>42</v>
      </c>
      <c r="C607" t="s">
        <v>56</v>
      </c>
      <c r="D607">
        <v>190.52</v>
      </c>
      <c r="E607">
        <v>3</v>
      </c>
      <c r="F607" s="6">
        <v>10.92</v>
      </c>
      <c r="G607" s="4">
        <v>20.45</v>
      </c>
      <c r="H607" t="s">
        <v>717</v>
      </c>
      <c r="I607" t="s">
        <v>158</v>
      </c>
      <c r="J607" t="s">
        <v>1591</v>
      </c>
    </row>
    <row r="608" spans="1:10" x14ac:dyDescent="0.35">
      <c r="A608" t="s">
        <v>1592</v>
      </c>
      <c r="B608" t="s">
        <v>10</v>
      </c>
      <c r="C608" t="s">
        <v>17</v>
      </c>
      <c r="D608">
        <v>399.31</v>
      </c>
      <c r="E608">
        <v>5</v>
      </c>
      <c r="F608" s="6">
        <v>41.44</v>
      </c>
      <c r="G608" s="4">
        <v>98.49</v>
      </c>
      <c r="H608" t="s">
        <v>376</v>
      </c>
      <c r="I608" t="s">
        <v>377</v>
      </c>
      <c r="J608" t="s">
        <v>1593</v>
      </c>
    </row>
    <row r="609" spans="1:10" x14ac:dyDescent="0.35">
      <c r="A609" t="s">
        <v>1594</v>
      </c>
      <c r="B609" t="s">
        <v>42</v>
      </c>
      <c r="C609" t="s">
        <v>27</v>
      </c>
      <c r="D609">
        <v>212.67</v>
      </c>
      <c r="E609">
        <v>3</v>
      </c>
      <c r="F609" s="6">
        <v>29.95</v>
      </c>
      <c r="G609" s="4">
        <v>13.79</v>
      </c>
      <c r="H609" t="s">
        <v>581</v>
      </c>
      <c r="I609" t="s">
        <v>526</v>
      </c>
      <c r="J609" t="s">
        <v>1595</v>
      </c>
    </row>
    <row r="610" spans="1:10" x14ac:dyDescent="0.35">
      <c r="A610" t="s">
        <v>1596</v>
      </c>
      <c r="B610" t="s">
        <v>10</v>
      </c>
      <c r="C610" t="s">
        <v>11</v>
      </c>
      <c r="D610">
        <v>468.76</v>
      </c>
      <c r="E610">
        <v>5</v>
      </c>
      <c r="F610" s="6">
        <v>25.63</v>
      </c>
      <c r="G610" s="4">
        <v>71.66</v>
      </c>
      <c r="H610" t="s">
        <v>1297</v>
      </c>
      <c r="I610" t="s">
        <v>66</v>
      </c>
      <c r="J610" t="s">
        <v>1597</v>
      </c>
    </row>
    <row r="611" spans="1:10" x14ac:dyDescent="0.35">
      <c r="A611" t="s">
        <v>1598</v>
      </c>
      <c r="B611" t="s">
        <v>42</v>
      </c>
      <c r="C611" t="s">
        <v>61</v>
      </c>
      <c r="D611">
        <v>156.51</v>
      </c>
      <c r="E611">
        <v>4</v>
      </c>
      <c r="F611" s="6">
        <v>42.1</v>
      </c>
      <c r="G611" s="4">
        <v>36.700000000000003</v>
      </c>
      <c r="H611" t="s">
        <v>334</v>
      </c>
      <c r="I611" t="s">
        <v>666</v>
      </c>
      <c r="J611" t="s">
        <v>1599</v>
      </c>
    </row>
    <row r="612" spans="1:10" x14ac:dyDescent="0.35">
      <c r="A612" t="s">
        <v>1600</v>
      </c>
      <c r="B612" t="s">
        <v>10</v>
      </c>
      <c r="C612" t="s">
        <v>89</v>
      </c>
      <c r="D612">
        <v>391.89</v>
      </c>
      <c r="E612">
        <v>3</v>
      </c>
      <c r="F612" s="6">
        <v>38.56</v>
      </c>
      <c r="G612" s="4">
        <v>46.8</v>
      </c>
      <c r="H612" t="s">
        <v>730</v>
      </c>
      <c r="I612" t="s">
        <v>571</v>
      </c>
      <c r="J612" t="s">
        <v>1601</v>
      </c>
    </row>
    <row r="613" spans="1:10" x14ac:dyDescent="0.35">
      <c r="A613" t="s">
        <v>1602</v>
      </c>
      <c r="B613" t="s">
        <v>10</v>
      </c>
      <c r="C613" t="s">
        <v>11</v>
      </c>
      <c r="D613">
        <v>91.66</v>
      </c>
      <c r="E613">
        <v>4</v>
      </c>
      <c r="F613" s="6">
        <v>24.02</v>
      </c>
      <c r="G613" s="4">
        <v>69.040000000000006</v>
      </c>
      <c r="H613" t="s">
        <v>988</v>
      </c>
      <c r="I613" t="s">
        <v>301</v>
      </c>
      <c r="J613" t="s">
        <v>1603</v>
      </c>
    </row>
    <row r="614" spans="1:10" x14ac:dyDescent="0.35">
      <c r="A614" t="s">
        <v>1604</v>
      </c>
      <c r="B614" t="s">
        <v>10</v>
      </c>
      <c r="C614" t="s">
        <v>17</v>
      </c>
      <c r="D614">
        <v>425.97</v>
      </c>
      <c r="E614">
        <v>5</v>
      </c>
      <c r="F614" s="6">
        <v>24.11</v>
      </c>
      <c r="G614" s="4">
        <v>56.04</v>
      </c>
      <c r="H614" t="s">
        <v>1132</v>
      </c>
      <c r="I614" t="s">
        <v>522</v>
      </c>
      <c r="J614" t="s">
        <v>1605</v>
      </c>
    </row>
    <row r="615" spans="1:10" x14ac:dyDescent="0.35">
      <c r="A615" t="s">
        <v>1606</v>
      </c>
      <c r="B615" t="s">
        <v>16</v>
      </c>
      <c r="C615" t="s">
        <v>37</v>
      </c>
      <c r="D615">
        <v>76.39</v>
      </c>
      <c r="E615">
        <v>5</v>
      </c>
      <c r="F615" s="6">
        <v>27.5</v>
      </c>
      <c r="G615" s="4">
        <v>54.47</v>
      </c>
      <c r="H615" t="s">
        <v>225</v>
      </c>
      <c r="I615" t="s">
        <v>70</v>
      </c>
      <c r="J615" t="s">
        <v>1607</v>
      </c>
    </row>
    <row r="616" spans="1:10" x14ac:dyDescent="0.35">
      <c r="A616" t="s">
        <v>1608</v>
      </c>
      <c r="B616" t="s">
        <v>16</v>
      </c>
      <c r="C616" t="s">
        <v>89</v>
      </c>
      <c r="D616">
        <v>470.4</v>
      </c>
      <c r="E616">
        <v>4</v>
      </c>
      <c r="F616" s="6">
        <v>15.95</v>
      </c>
      <c r="G616" s="4">
        <v>14.68</v>
      </c>
      <c r="H616" t="s">
        <v>898</v>
      </c>
      <c r="I616" t="s">
        <v>171</v>
      </c>
      <c r="J616" t="s">
        <v>1609</v>
      </c>
    </row>
    <row r="617" spans="1:10" x14ac:dyDescent="0.35">
      <c r="A617" t="s">
        <v>1610</v>
      </c>
      <c r="B617" t="s">
        <v>42</v>
      </c>
      <c r="C617" t="s">
        <v>27</v>
      </c>
      <c r="D617">
        <v>390.79</v>
      </c>
      <c r="E617">
        <v>4</v>
      </c>
      <c r="F617" s="6">
        <v>19.190000000000001</v>
      </c>
      <c r="G617" s="4">
        <v>75.33</v>
      </c>
      <c r="H617" t="s">
        <v>252</v>
      </c>
      <c r="I617" t="s">
        <v>300</v>
      </c>
      <c r="J617" t="s">
        <v>1611</v>
      </c>
    </row>
    <row r="618" spans="1:10" x14ac:dyDescent="0.35">
      <c r="A618" t="s">
        <v>1612</v>
      </c>
      <c r="B618" t="s">
        <v>16</v>
      </c>
      <c r="C618" t="s">
        <v>22</v>
      </c>
      <c r="D618">
        <v>192.91</v>
      </c>
      <c r="E618">
        <v>3</v>
      </c>
      <c r="F618" s="6">
        <v>42.37</v>
      </c>
      <c r="G618" s="4">
        <v>57.55</v>
      </c>
      <c r="H618" t="s">
        <v>348</v>
      </c>
      <c r="I618" t="s">
        <v>708</v>
      </c>
      <c r="J618" t="s">
        <v>1613</v>
      </c>
    </row>
    <row r="619" spans="1:10" x14ac:dyDescent="0.35">
      <c r="A619" t="s">
        <v>1614</v>
      </c>
      <c r="B619" t="s">
        <v>10</v>
      </c>
      <c r="C619" t="s">
        <v>27</v>
      </c>
      <c r="D619">
        <v>302.69</v>
      </c>
      <c r="E619">
        <v>4</v>
      </c>
      <c r="F619" s="6">
        <v>29.11</v>
      </c>
      <c r="G619" s="4">
        <v>17.61</v>
      </c>
      <c r="H619" t="s">
        <v>1219</v>
      </c>
      <c r="I619" t="s">
        <v>1522</v>
      </c>
      <c r="J619" t="s">
        <v>1615</v>
      </c>
    </row>
    <row r="620" spans="1:10" x14ac:dyDescent="0.35">
      <c r="A620" t="s">
        <v>1616</v>
      </c>
      <c r="B620" t="s">
        <v>10</v>
      </c>
      <c r="C620" t="s">
        <v>37</v>
      </c>
      <c r="D620">
        <v>415.9</v>
      </c>
      <c r="E620">
        <v>5</v>
      </c>
      <c r="F620" s="6">
        <v>39.090000000000003</v>
      </c>
      <c r="G620" s="4">
        <v>69.11</v>
      </c>
      <c r="H620" t="s">
        <v>531</v>
      </c>
      <c r="I620" t="s">
        <v>593</v>
      </c>
      <c r="J620" t="s">
        <v>1617</v>
      </c>
    </row>
    <row r="621" spans="1:10" x14ac:dyDescent="0.35">
      <c r="A621" t="s">
        <v>1618</v>
      </c>
      <c r="B621" t="s">
        <v>16</v>
      </c>
      <c r="C621" t="s">
        <v>89</v>
      </c>
      <c r="D621">
        <v>106.79</v>
      </c>
      <c r="E621">
        <v>3</v>
      </c>
      <c r="F621" s="6">
        <v>41.97</v>
      </c>
      <c r="G621" s="4">
        <v>88.25</v>
      </c>
      <c r="H621" t="s">
        <v>52</v>
      </c>
      <c r="I621" t="s">
        <v>179</v>
      </c>
      <c r="J621" t="s">
        <v>1619</v>
      </c>
    </row>
    <row r="622" spans="1:10" x14ac:dyDescent="0.35">
      <c r="A622" t="s">
        <v>1620</v>
      </c>
      <c r="B622" t="s">
        <v>42</v>
      </c>
      <c r="C622" t="s">
        <v>17</v>
      </c>
      <c r="D622">
        <v>332.16</v>
      </c>
      <c r="E622">
        <v>4</v>
      </c>
      <c r="F622" s="6">
        <v>34.85</v>
      </c>
      <c r="G622" s="4">
        <v>61.79</v>
      </c>
      <c r="H622" t="s">
        <v>192</v>
      </c>
      <c r="I622" t="s">
        <v>193</v>
      </c>
      <c r="J622" t="s">
        <v>1621</v>
      </c>
    </row>
    <row r="623" spans="1:10" x14ac:dyDescent="0.35">
      <c r="A623" t="s">
        <v>1622</v>
      </c>
      <c r="B623" t="s">
        <v>10</v>
      </c>
      <c r="C623" t="s">
        <v>22</v>
      </c>
      <c r="D623">
        <v>122.11</v>
      </c>
      <c r="E623">
        <v>4</v>
      </c>
      <c r="F623" s="6">
        <v>11.16</v>
      </c>
      <c r="G623" s="4">
        <v>59.45</v>
      </c>
      <c r="H623" t="s">
        <v>438</v>
      </c>
      <c r="I623" t="s">
        <v>1013</v>
      </c>
      <c r="J623" t="s">
        <v>1623</v>
      </c>
    </row>
    <row r="624" spans="1:10" x14ac:dyDescent="0.35">
      <c r="A624" t="s">
        <v>1624</v>
      </c>
      <c r="B624" t="s">
        <v>10</v>
      </c>
      <c r="C624" t="s">
        <v>37</v>
      </c>
      <c r="D624">
        <v>193.65</v>
      </c>
      <c r="E624">
        <v>5</v>
      </c>
      <c r="F624" s="6">
        <v>6.51</v>
      </c>
      <c r="G624" s="4">
        <v>77.36</v>
      </c>
      <c r="H624" t="s">
        <v>101</v>
      </c>
      <c r="I624" t="s">
        <v>503</v>
      </c>
      <c r="J624" t="s">
        <v>1625</v>
      </c>
    </row>
    <row r="625" spans="1:10" x14ac:dyDescent="0.35">
      <c r="A625" t="s">
        <v>1626</v>
      </c>
      <c r="B625" t="s">
        <v>42</v>
      </c>
      <c r="C625" t="s">
        <v>11</v>
      </c>
      <c r="D625">
        <v>198.08</v>
      </c>
      <c r="E625">
        <v>5</v>
      </c>
      <c r="F625" s="6">
        <v>19.2</v>
      </c>
      <c r="G625" s="4">
        <v>26.6</v>
      </c>
      <c r="H625" t="s">
        <v>634</v>
      </c>
      <c r="I625" t="s">
        <v>109</v>
      </c>
      <c r="J625" t="s">
        <v>1627</v>
      </c>
    </row>
    <row r="626" spans="1:10" x14ac:dyDescent="0.35">
      <c r="A626" t="s">
        <v>1628</v>
      </c>
      <c r="B626" t="s">
        <v>42</v>
      </c>
      <c r="C626" t="s">
        <v>61</v>
      </c>
      <c r="D626">
        <v>257.36</v>
      </c>
      <c r="E626">
        <v>3</v>
      </c>
      <c r="F626" s="6">
        <v>10.26</v>
      </c>
      <c r="G626" s="4">
        <v>89.32</v>
      </c>
      <c r="H626" t="s">
        <v>139</v>
      </c>
      <c r="I626" t="s">
        <v>758</v>
      </c>
      <c r="J626" t="s">
        <v>1629</v>
      </c>
    </row>
    <row r="627" spans="1:10" x14ac:dyDescent="0.35">
      <c r="A627" t="s">
        <v>1630</v>
      </c>
      <c r="B627" t="s">
        <v>10</v>
      </c>
      <c r="C627" t="s">
        <v>17</v>
      </c>
      <c r="D627">
        <v>306.39</v>
      </c>
      <c r="E627">
        <v>3</v>
      </c>
      <c r="F627" s="6">
        <v>49.64</v>
      </c>
      <c r="G627" s="4">
        <v>82.44</v>
      </c>
      <c r="H627" t="s">
        <v>639</v>
      </c>
      <c r="I627" t="s">
        <v>38</v>
      </c>
      <c r="J627" t="s">
        <v>1631</v>
      </c>
    </row>
    <row r="628" spans="1:10" x14ac:dyDescent="0.35">
      <c r="A628" t="s">
        <v>1632</v>
      </c>
      <c r="B628" t="s">
        <v>16</v>
      </c>
      <c r="C628" t="s">
        <v>27</v>
      </c>
      <c r="D628">
        <v>157.26</v>
      </c>
      <c r="E628">
        <v>4</v>
      </c>
      <c r="F628" s="6">
        <v>39.22</v>
      </c>
      <c r="G628" s="4">
        <v>33.44</v>
      </c>
      <c r="H628" t="s">
        <v>1219</v>
      </c>
      <c r="I628" t="s">
        <v>1522</v>
      </c>
      <c r="J628" t="s">
        <v>1633</v>
      </c>
    </row>
    <row r="629" spans="1:10" x14ac:dyDescent="0.35">
      <c r="A629" t="s">
        <v>1634</v>
      </c>
      <c r="B629" t="s">
        <v>10</v>
      </c>
      <c r="C629" t="s">
        <v>22</v>
      </c>
      <c r="D629">
        <v>284.69</v>
      </c>
      <c r="E629">
        <v>3</v>
      </c>
      <c r="F629" s="6">
        <v>5.5</v>
      </c>
      <c r="G629" s="4">
        <v>13.07</v>
      </c>
      <c r="H629" t="s">
        <v>1205</v>
      </c>
      <c r="I629" t="s">
        <v>651</v>
      </c>
      <c r="J629" t="s">
        <v>1635</v>
      </c>
    </row>
    <row r="630" spans="1:10" x14ac:dyDescent="0.35">
      <c r="A630" t="s">
        <v>1636</v>
      </c>
      <c r="B630" t="s">
        <v>10</v>
      </c>
      <c r="C630" t="s">
        <v>32</v>
      </c>
      <c r="D630">
        <v>166.38</v>
      </c>
      <c r="E630">
        <v>3</v>
      </c>
      <c r="F630" s="6">
        <v>34.78</v>
      </c>
      <c r="G630" s="4">
        <v>32.43</v>
      </c>
      <c r="H630" t="s">
        <v>53</v>
      </c>
      <c r="I630" t="s">
        <v>314</v>
      </c>
      <c r="J630" t="s">
        <v>1637</v>
      </c>
    </row>
    <row r="631" spans="1:10" x14ac:dyDescent="0.35">
      <c r="A631" t="s">
        <v>1638</v>
      </c>
      <c r="B631" t="s">
        <v>42</v>
      </c>
      <c r="C631" t="s">
        <v>47</v>
      </c>
      <c r="D631">
        <v>53.06</v>
      </c>
      <c r="E631">
        <v>4</v>
      </c>
      <c r="F631" s="6">
        <v>36.78</v>
      </c>
      <c r="G631" s="4">
        <v>73.290000000000006</v>
      </c>
      <c r="H631" t="s">
        <v>1037</v>
      </c>
      <c r="I631" t="s">
        <v>217</v>
      </c>
      <c r="J631" t="s">
        <v>1639</v>
      </c>
    </row>
    <row r="632" spans="1:10" x14ac:dyDescent="0.35">
      <c r="A632" t="s">
        <v>1640</v>
      </c>
      <c r="B632" t="s">
        <v>42</v>
      </c>
      <c r="C632" t="s">
        <v>89</v>
      </c>
      <c r="D632">
        <v>106.64</v>
      </c>
      <c r="E632">
        <v>3</v>
      </c>
      <c r="F632" s="6">
        <v>10.53</v>
      </c>
      <c r="G632" s="4">
        <v>74.87</v>
      </c>
      <c r="H632" t="s">
        <v>693</v>
      </c>
      <c r="I632" t="s">
        <v>651</v>
      </c>
      <c r="J632" t="s">
        <v>1641</v>
      </c>
    </row>
    <row r="633" spans="1:10" x14ac:dyDescent="0.35">
      <c r="A633" t="s">
        <v>1642</v>
      </c>
      <c r="B633" t="s">
        <v>42</v>
      </c>
      <c r="C633" t="s">
        <v>11</v>
      </c>
      <c r="D633">
        <v>330.41</v>
      </c>
      <c r="E633">
        <v>5</v>
      </c>
      <c r="F633" s="6">
        <v>44.02</v>
      </c>
      <c r="G633" s="4">
        <v>70.489999999999995</v>
      </c>
      <c r="H633" t="s">
        <v>67</v>
      </c>
      <c r="I633" t="s">
        <v>147</v>
      </c>
      <c r="J633" t="s">
        <v>1643</v>
      </c>
    </row>
    <row r="634" spans="1:10" x14ac:dyDescent="0.35">
      <c r="A634" t="s">
        <v>1644</v>
      </c>
      <c r="B634" t="s">
        <v>42</v>
      </c>
      <c r="C634" t="s">
        <v>89</v>
      </c>
      <c r="D634">
        <v>264.38</v>
      </c>
      <c r="E634">
        <v>5</v>
      </c>
      <c r="F634" s="6">
        <v>22.9</v>
      </c>
      <c r="G634" s="4">
        <v>91.71</v>
      </c>
      <c r="H634" t="s">
        <v>600</v>
      </c>
      <c r="I634" t="s">
        <v>1645</v>
      </c>
      <c r="J634" t="s">
        <v>1646</v>
      </c>
    </row>
    <row r="635" spans="1:10" x14ac:dyDescent="0.35">
      <c r="A635" t="s">
        <v>1647</v>
      </c>
      <c r="B635" t="s">
        <v>42</v>
      </c>
      <c r="C635" t="s">
        <v>22</v>
      </c>
      <c r="D635">
        <v>286.06</v>
      </c>
      <c r="E635">
        <v>4</v>
      </c>
      <c r="F635" s="6">
        <v>35.68</v>
      </c>
      <c r="G635" s="4">
        <v>13.51</v>
      </c>
      <c r="H635" t="s">
        <v>917</v>
      </c>
      <c r="I635" t="s">
        <v>1522</v>
      </c>
      <c r="J635" t="s">
        <v>1648</v>
      </c>
    </row>
    <row r="636" spans="1:10" x14ac:dyDescent="0.35">
      <c r="A636" t="s">
        <v>1649</v>
      </c>
      <c r="B636" t="s">
        <v>16</v>
      </c>
      <c r="C636" t="s">
        <v>89</v>
      </c>
      <c r="D636">
        <v>201.43</v>
      </c>
      <c r="E636">
        <v>3</v>
      </c>
      <c r="F636" s="6">
        <v>20.89</v>
      </c>
      <c r="G636" s="4">
        <v>32.72</v>
      </c>
      <c r="H636" t="s">
        <v>230</v>
      </c>
      <c r="I636" t="s">
        <v>945</v>
      </c>
      <c r="J636" t="s">
        <v>1650</v>
      </c>
    </row>
    <row r="637" spans="1:10" x14ac:dyDescent="0.35">
      <c r="A637" t="s">
        <v>1651</v>
      </c>
      <c r="B637" t="s">
        <v>10</v>
      </c>
      <c r="C637" t="s">
        <v>56</v>
      </c>
      <c r="D637">
        <v>216.77</v>
      </c>
      <c r="E637">
        <v>5</v>
      </c>
      <c r="F637" s="6">
        <v>35.049999999999997</v>
      </c>
      <c r="G637" s="4">
        <v>86.86</v>
      </c>
      <c r="H637" t="s">
        <v>1132</v>
      </c>
      <c r="I637" t="s">
        <v>113</v>
      </c>
      <c r="J637" t="s">
        <v>1652</v>
      </c>
    </row>
    <row r="638" spans="1:10" x14ac:dyDescent="0.35">
      <c r="A638" t="s">
        <v>1653</v>
      </c>
      <c r="B638" t="s">
        <v>10</v>
      </c>
      <c r="C638" t="s">
        <v>22</v>
      </c>
      <c r="D638">
        <v>158.31</v>
      </c>
      <c r="E638">
        <v>5</v>
      </c>
      <c r="F638" s="6">
        <v>25.27</v>
      </c>
      <c r="G638" s="4">
        <v>88.78</v>
      </c>
      <c r="H638" t="s">
        <v>484</v>
      </c>
      <c r="I638" t="s">
        <v>241</v>
      </c>
      <c r="J638" t="s">
        <v>1654</v>
      </c>
    </row>
    <row r="639" spans="1:10" x14ac:dyDescent="0.35">
      <c r="A639" t="s">
        <v>1655</v>
      </c>
      <c r="B639" t="s">
        <v>16</v>
      </c>
      <c r="C639" t="s">
        <v>11</v>
      </c>
      <c r="D639">
        <v>246.46</v>
      </c>
      <c r="E639">
        <v>3</v>
      </c>
      <c r="F639" s="6">
        <v>30.93</v>
      </c>
      <c r="G639" s="4">
        <v>54.44</v>
      </c>
      <c r="H639" t="s">
        <v>237</v>
      </c>
      <c r="I639" t="s">
        <v>466</v>
      </c>
      <c r="J639" t="s">
        <v>1656</v>
      </c>
    </row>
    <row r="640" spans="1:10" x14ac:dyDescent="0.35">
      <c r="A640" t="s">
        <v>1657</v>
      </c>
      <c r="B640" t="s">
        <v>42</v>
      </c>
      <c r="C640" t="s">
        <v>27</v>
      </c>
      <c r="D640">
        <v>121.42</v>
      </c>
      <c r="E640">
        <v>5</v>
      </c>
      <c r="F640" s="6">
        <v>9.48</v>
      </c>
      <c r="G640" s="4">
        <v>89.31</v>
      </c>
      <c r="H640" t="s">
        <v>323</v>
      </c>
      <c r="I640" t="s">
        <v>210</v>
      </c>
      <c r="J640" t="s">
        <v>1658</v>
      </c>
    </row>
    <row r="641" spans="1:10" x14ac:dyDescent="0.35">
      <c r="A641" t="s">
        <v>1659</v>
      </c>
      <c r="B641" t="s">
        <v>10</v>
      </c>
      <c r="C641" t="s">
        <v>32</v>
      </c>
      <c r="D641">
        <v>373.93</v>
      </c>
      <c r="E641">
        <v>3</v>
      </c>
      <c r="F641" s="6">
        <v>9.84</v>
      </c>
      <c r="G641" s="4">
        <v>68.989999999999995</v>
      </c>
      <c r="H641" t="s">
        <v>880</v>
      </c>
      <c r="I641" t="s">
        <v>102</v>
      </c>
      <c r="J641" t="s">
        <v>1660</v>
      </c>
    </row>
    <row r="642" spans="1:10" x14ac:dyDescent="0.35">
      <c r="A642" t="s">
        <v>1661</v>
      </c>
      <c r="B642" t="s">
        <v>42</v>
      </c>
      <c r="C642" t="s">
        <v>17</v>
      </c>
      <c r="D642">
        <v>330.37</v>
      </c>
      <c r="E642">
        <v>4</v>
      </c>
      <c r="F642" s="6">
        <v>46.42</v>
      </c>
      <c r="G642" s="4">
        <v>92.47</v>
      </c>
      <c r="H642" t="s">
        <v>209</v>
      </c>
      <c r="I642" t="s">
        <v>742</v>
      </c>
      <c r="J642" t="s">
        <v>1662</v>
      </c>
    </row>
    <row r="643" spans="1:10" x14ac:dyDescent="0.35">
      <c r="A643" t="s">
        <v>1663</v>
      </c>
      <c r="B643" t="s">
        <v>10</v>
      </c>
      <c r="C643" t="s">
        <v>56</v>
      </c>
      <c r="D643">
        <v>341.82</v>
      </c>
      <c r="E643">
        <v>5</v>
      </c>
      <c r="F643" s="6">
        <v>39.43</v>
      </c>
      <c r="G643" s="4">
        <v>66.3</v>
      </c>
      <c r="H643" t="s">
        <v>12</v>
      </c>
      <c r="I643" t="s">
        <v>13</v>
      </c>
      <c r="J643" t="s">
        <v>1664</v>
      </c>
    </row>
    <row r="644" spans="1:10" x14ac:dyDescent="0.35">
      <c r="A644" t="s">
        <v>1665</v>
      </c>
      <c r="B644" t="s">
        <v>42</v>
      </c>
      <c r="C644" t="s">
        <v>11</v>
      </c>
      <c r="D644">
        <v>87.94</v>
      </c>
      <c r="E644">
        <v>3</v>
      </c>
      <c r="F644" s="6">
        <v>46.49</v>
      </c>
      <c r="G644" s="4">
        <v>50.46</v>
      </c>
      <c r="H644" t="s">
        <v>1181</v>
      </c>
      <c r="I644" t="s">
        <v>549</v>
      </c>
      <c r="J644" t="s">
        <v>1666</v>
      </c>
    </row>
    <row r="645" spans="1:10" x14ac:dyDescent="0.35">
      <c r="A645" t="s">
        <v>1667</v>
      </c>
      <c r="B645" t="s">
        <v>42</v>
      </c>
      <c r="C645" t="s">
        <v>61</v>
      </c>
      <c r="D645">
        <v>80.64</v>
      </c>
      <c r="E645">
        <v>4</v>
      </c>
      <c r="F645" s="6">
        <v>2.85</v>
      </c>
      <c r="G645" s="4">
        <v>36.76</v>
      </c>
      <c r="H645" t="s">
        <v>910</v>
      </c>
      <c r="I645" t="s">
        <v>727</v>
      </c>
      <c r="J645" t="s">
        <v>1668</v>
      </c>
    </row>
    <row r="646" spans="1:10" x14ac:dyDescent="0.35">
      <c r="A646" t="s">
        <v>1669</v>
      </c>
      <c r="B646" t="s">
        <v>10</v>
      </c>
      <c r="C646" t="s">
        <v>22</v>
      </c>
      <c r="D646">
        <v>327.49</v>
      </c>
      <c r="E646">
        <v>4</v>
      </c>
      <c r="F646" s="6">
        <v>33</v>
      </c>
      <c r="G646" s="4">
        <v>17.309999999999999</v>
      </c>
      <c r="H646" t="s">
        <v>1670</v>
      </c>
      <c r="I646" t="s">
        <v>230</v>
      </c>
      <c r="J646" t="s">
        <v>1671</v>
      </c>
    </row>
    <row r="647" spans="1:10" x14ac:dyDescent="0.35">
      <c r="A647" t="s">
        <v>1672</v>
      </c>
      <c r="B647" t="s">
        <v>10</v>
      </c>
      <c r="C647" t="s">
        <v>11</v>
      </c>
      <c r="D647">
        <v>414.39</v>
      </c>
      <c r="E647">
        <v>4</v>
      </c>
      <c r="F647" s="6">
        <v>47.22</v>
      </c>
      <c r="G647" s="4">
        <v>80.25</v>
      </c>
      <c r="H647" t="s">
        <v>603</v>
      </c>
      <c r="I647" t="s">
        <v>851</v>
      </c>
      <c r="J647" t="s">
        <v>1673</v>
      </c>
    </row>
    <row r="648" spans="1:10" x14ac:dyDescent="0.35">
      <c r="A648" t="s">
        <v>1674</v>
      </c>
      <c r="B648" t="s">
        <v>16</v>
      </c>
      <c r="C648" t="s">
        <v>32</v>
      </c>
      <c r="D648">
        <v>164.51</v>
      </c>
      <c r="E648">
        <v>3</v>
      </c>
      <c r="F648" s="6">
        <v>9.2100000000000009</v>
      </c>
      <c r="G648" s="4">
        <v>92.48</v>
      </c>
      <c r="H648" t="s">
        <v>1675</v>
      </c>
      <c r="I648" t="s">
        <v>67</v>
      </c>
      <c r="J648" t="s">
        <v>1676</v>
      </c>
    </row>
    <row r="649" spans="1:10" x14ac:dyDescent="0.35">
      <c r="A649" t="s">
        <v>1677</v>
      </c>
      <c r="B649" t="s">
        <v>42</v>
      </c>
      <c r="C649" t="s">
        <v>17</v>
      </c>
      <c r="D649">
        <v>121.41</v>
      </c>
      <c r="E649">
        <v>3</v>
      </c>
      <c r="F649" s="6">
        <v>49.88</v>
      </c>
      <c r="G649" s="4">
        <v>87.66</v>
      </c>
      <c r="H649" t="s">
        <v>1200</v>
      </c>
      <c r="I649" t="s">
        <v>196</v>
      </c>
      <c r="J649" t="s">
        <v>689</v>
      </c>
    </row>
    <row r="650" spans="1:10" x14ac:dyDescent="0.35">
      <c r="A650" t="s">
        <v>1678</v>
      </c>
      <c r="B650" t="s">
        <v>16</v>
      </c>
      <c r="C650" t="s">
        <v>32</v>
      </c>
      <c r="D650">
        <v>187.74</v>
      </c>
      <c r="E650">
        <v>4</v>
      </c>
      <c r="F650" s="6">
        <v>29.62</v>
      </c>
      <c r="G650" s="4">
        <v>23.43</v>
      </c>
      <c r="H650" t="s">
        <v>1679</v>
      </c>
      <c r="I650" t="s">
        <v>118</v>
      </c>
      <c r="J650" t="s">
        <v>1680</v>
      </c>
    </row>
    <row r="651" spans="1:10" x14ac:dyDescent="0.35">
      <c r="A651" t="s">
        <v>1681</v>
      </c>
      <c r="B651" t="s">
        <v>10</v>
      </c>
      <c r="C651" t="s">
        <v>56</v>
      </c>
      <c r="D651">
        <v>75.38</v>
      </c>
      <c r="E651">
        <v>5</v>
      </c>
      <c r="F651" s="6">
        <v>46.48</v>
      </c>
      <c r="G651" s="4">
        <v>20.53</v>
      </c>
      <c r="H651" t="s">
        <v>233</v>
      </c>
      <c r="I651" t="s">
        <v>192</v>
      </c>
      <c r="J651" t="s">
        <v>1682</v>
      </c>
    </row>
    <row r="652" spans="1:10" x14ac:dyDescent="0.35">
      <c r="A652" t="s">
        <v>1683</v>
      </c>
      <c r="B652" t="s">
        <v>10</v>
      </c>
      <c r="C652" t="s">
        <v>56</v>
      </c>
      <c r="D652">
        <v>265.64</v>
      </c>
      <c r="E652">
        <v>3</v>
      </c>
      <c r="F652" s="6">
        <v>36.85</v>
      </c>
      <c r="G652" s="4">
        <v>34.700000000000003</v>
      </c>
      <c r="H652" t="s">
        <v>281</v>
      </c>
      <c r="I652" t="s">
        <v>101</v>
      </c>
      <c r="J652" t="s">
        <v>1684</v>
      </c>
    </row>
    <row r="653" spans="1:10" x14ac:dyDescent="0.35">
      <c r="A653" t="s">
        <v>1685</v>
      </c>
      <c r="B653" t="s">
        <v>16</v>
      </c>
      <c r="C653" t="s">
        <v>17</v>
      </c>
      <c r="D653">
        <v>464.3</v>
      </c>
      <c r="E653">
        <v>5</v>
      </c>
      <c r="F653" s="6">
        <v>9.1300000000000008</v>
      </c>
      <c r="G653" s="4">
        <v>39.71</v>
      </c>
      <c r="H653" t="s">
        <v>593</v>
      </c>
      <c r="I653" t="s">
        <v>209</v>
      </c>
      <c r="J653" t="s">
        <v>1686</v>
      </c>
    </row>
    <row r="654" spans="1:10" x14ac:dyDescent="0.35">
      <c r="A654" t="s">
        <v>1687</v>
      </c>
      <c r="B654" t="s">
        <v>10</v>
      </c>
      <c r="C654" t="s">
        <v>89</v>
      </c>
      <c r="D654">
        <v>167.83</v>
      </c>
      <c r="E654">
        <v>3</v>
      </c>
      <c r="F654" s="6">
        <v>48.88</v>
      </c>
      <c r="G654" s="4">
        <v>86.08</v>
      </c>
      <c r="H654" t="s">
        <v>140</v>
      </c>
      <c r="I654" t="s">
        <v>326</v>
      </c>
      <c r="J654" t="s">
        <v>1688</v>
      </c>
    </row>
    <row r="655" spans="1:10" x14ac:dyDescent="0.35">
      <c r="A655" t="s">
        <v>1689</v>
      </c>
      <c r="B655" t="s">
        <v>16</v>
      </c>
      <c r="C655" t="s">
        <v>11</v>
      </c>
      <c r="D655">
        <v>228.5</v>
      </c>
      <c r="E655">
        <v>4</v>
      </c>
      <c r="F655" s="6">
        <v>21.93</v>
      </c>
      <c r="G655" s="4">
        <v>61.7</v>
      </c>
      <c r="H655" t="s">
        <v>176</v>
      </c>
      <c r="I655" t="s">
        <v>438</v>
      </c>
      <c r="J655" t="s">
        <v>1690</v>
      </c>
    </row>
    <row r="656" spans="1:10" x14ac:dyDescent="0.35">
      <c r="A656" t="s">
        <v>1691</v>
      </c>
      <c r="B656" t="s">
        <v>10</v>
      </c>
      <c r="C656" t="s">
        <v>22</v>
      </c>
      <c r="D656">
        <v>497.99</v>
      </c>
      <c r="E656">
        <v>4</v>
      </c>
      <c r="F656" s="6">
        <v>47.75</v>
      </c>
      <c r="G656" s="4">
        <v>69.12</v>
      </c>
      <c r="H656" t="s">
        <v>434</v>
      </c>
      <c r="I656" t="s">
        <v>176</v>
      </c>
      <c r="J656" t="s">
        <v>1692</v>
      </c>
    </row>
    <row r="657" spans="1:10" x14ac:dyDescent="0.35">
      <c r="A657" t="s">
        <v>1693</v>
      </c>
      <c r="B657" t="s">
        <v>10</v>
      </c>
      <c r="C657" t="s">
        <v>61</v>
      </c>
      <c r="D657">
        <v>460.78</v>
      </c>
      <c r="E657">
        <v>4</v>
      </c>
      <c r="F657" s="6">
        <v>11.77</v>
      </c>
      <c r="G657" s="4">
        <v>75.040000000000006</v>
      </c>
      <c r="H657" t="s">
        <v>1272</v>
      </c>
      <c r="I657" t="s">
        <v>48</v>
      </c>
      <c r="J657" t="s">
        <v>1694</v>
      </c>
    </row>
    <row r="658" spans="1:10" x14ac:dyDescent="0.35">
      <c r="A658" t="s">
        <v>1695</v>
      </c>
      <c r="B658" t="s">
        <v>10</v>
      </c>
      <c r="C658" t="s">
        <v>37</v>
      </c>
      <c r="D658">
        <v>427.53</v>
      </c>
      <c r="E658">
        <v>5</v>
      </c>
      <c r="F658" s="6">
        <v>28.74</v>
      </c>
      <c r="G658" s="4">
        <v>63.7</v>
      </c>
      <c r="H658" t="s">
        <v>1197</v>
      </c>
      <c r="I658" t="s">
        <v>292</v>
      </c>
      <c r="J658" t="s">
        <v>1696</v>
      </c>
    </row>
    <row r="659" spans="1:10" x14ac:dyDescent="0.35">
      <c r="A659" t="s">
        <v>1697</v>
      </c>
      <c r="B659" t="s">
        <v>16</v>
      </c>
      <c r="C659" t="s">
        <v>37</v>
      </c>
      <c r="D659">
        <v>92.83</v>
      </c>
      <c r="E659">
        <v>5</v>
      </c>
      <c r="F659" s="6">
        <v>42.94</v>
      </c>
      <c r="G659" s="4">
        <v>34.36</v>
      </c>
      <c r="H659" t="s">
        <v>117</v>
      </c>
      <c r="I659" t="s">
        <v>1152</v>
      </c>
      <c r="J659" t="s">
        <v>1698</v>
      </c>
    </row>
    <row r="660" spans="1:10" x14ac:dyDescent="0.35">
      <c r="A660" t="s">
        <v>1699</v>
      </c>
      <c r="B660" t="s">
        <v>42</v>
      </c>
      <c r="C660" t="s">
        <v>61</v>
      </c>
      <c r="D660">
        <v>396.38</v>
      </c>
      <c r="E660">
        <v>3</v>
      </c>
      <c r="F660" s="6">
        <v>29.79</v>
      </c>
      <c r="G660" s="4">
        <v>79.849999999999994</v>
      </c>
      <c r="H660" t="s">
        <v>983</v>
      </c>
      <c r="I660" t="s">
        <v>28</v>
      </c>
      <c r="J660" t="s">
        <v>1700</v>
      </c>
    </row>
    <row r="661" spans="1:10" x14ac:dyDescent="0.35">
      <c r="A661" t="s">
        <v>1701</v>
      </c>
      <c r="B661" t="s">
        <v>16</v>
      </c>
      <c r="C661" t="s">
        <v>56</v>
      </c>
      <c r="D661">
        <v>299.92</v>
      </c>
      <c r="E661">
        <v>4</v>
      </c>
      <c r="F661" s="6">
        <v>49.17</v>
      </c>
      <c r="G661" s="4">
        <v>93.01</v>
      </c>
      <c r="H661" t="s">
        <v>1645</v>
      </c>
      <c r="I661" t="s">
        <v>1485</v>
      </c>
      <c r="J661" t="s">
        <v>1702</v>
      </c>
    </row>
    <row r="662" spans="1:10" x14ac:dyDescent="0.35">
      <c r="A662" t="s">
        <v>1703</v>
      </c>
      <c r="B662" t="s">
        <v>42</v>
      </c>
      <c r="C662" t="s">
        <v>47</v>
      </c>
      <c r="D662">
        <v>105.54</v>
      </c>
      <c r="E662">
        <v>5</v>
      </c>
      <c r="F662" s="6">
        <v>18.8</v>
      </c>
      <c r="G662" s="4">
        <v>38.799999999999997</v>
      </c>
      <c r="H662" t="s">
        <v>304</v>
      </c>
      <c r="I662" t="s">
        <v>666</v>
      </c>
      <c r="J662" t="s">
        <v>1704</v>
      </c>
    </row>
    <row r="663" spans="1:10" x14ac:dyDescent="0.35">
      <c r="A663" t="s">
        <v>1705</v>
      </c>
      <c r="B663" t="s">
        <v>42</v>
      </c>
      <c r="C663" t="s">
        <v>56</v>
      </c>
      <c r="D663">
        <v>283.14</v>
      </c>
      <c r="E663">
        <v>3</v>
      </c>
      <c r="F663" s="6">
        <v>47.74</v>
      </c>
      <c r="G663" s="4">
        <v>70.89</v>
      </c>
      <c r="H663" t="s">
        <v>71</v>
      </c>
      <c r="I663" t="s">
        <v>713</v>
      </c>
      <c r="J663" t="s">
        <v>1706</v>
      </c>
    </row>
    <row r="664" spans="1:10" x14ac:dyDescent="0.35">
      <c r="A664" t="s">
        <v>1707</v>
      </c>
      <c r="B664" t="s">
        <v>10</v>
      </c>
      <c r="C664" t="s">
        <v>89</v>
      </c>
      <c r="D664">
        <v>145.21</v>
      </c>
      <c r="E664">
        <v>4</v>
      </c>
      <c r="F664" s="6">
        <v>26.22</v>
      </c>
      <c r="G664" s="4">
        <v>98.21</v>
      </c>
      <c r="H664" t="s">
        <v>1675</v>
      </c>
      <c r="I664" t="s">
        <v>1200</v>
      </c>
      <c r="J664" t="s">
        <v>1708</v>
      </c>
    </row>
    <row r="665" spans="1:10" x14ac:dyDescent="0.35">
      <c r="A665" t="s">
        <v>1709</v>
      </c>
      <c r="B665" t="s">
        <v>10</v>
      </c>
      <c r="C665" t="s">
        <v>56</v>
      </c>
      <c r="D665">
        <v>368.43</v>
      </c>
      <c r="E665">
        <v>4</v>
      </c>
      <c r="F665" s="6">
        <v>13.16</v>
      </c>
      <c r="G665" s="4">
        <v>24.1</v>
      </c>
      <c r="H665" t="s">
        <v>530</v>
      </c>
      <c r="I665" t="s">
        <v>679</v>
      </c>
      <c r="J665" t="s">
        <v>1710</v>
      </c>
    </row>
    <row r="666" spans="1:10" x14ac:dyDescent="0.35">
      <c r="A666" t="s">
        <v>1711</v>
      </c>
      <c r="B666" t="s">
        <v>42</v>
      </c>
      <c r="C666" t="s">
        <v>22</v>
      </c>
      <c r="D666">
        <v>355.42</v>
      </c>
      <c r="E666">
        <v>4</v>
      </c>
      <c r="F666" s="6">
        <v>4.1900000000000004</v>
      </c>
      <c r="G666" s="4">
        <v>99.45</v>
      </c>
      <c r="H666" t="s">
        <v>650</v>
      </c>
      <c r="I666" t="s">
        <v>1095</v>
      </c>
      <c r="J666" t="s">
        <v>1712</v>
      </c>
    </row>
    <row r="667" spans="1:10" x14ac:dyDescent="0.35">
      <c r="A667" t="s">
        <v>1713</v>
      </c>
      <c r="B667" t="s">
        <v>16</v>
      </c>
      <c r="C667" t="s">
        <v>37</v>
      </c>
      <c r="D667">
        <v>362.36</v>
      </c>
      <c r="E667">
        <v>4</v>
      </c>
      <c r="F667" s="6">
        <v>23.61</v>
      </c>
      <c r="G667" s="4">
        <v>57.19</v>
      </c>
      <c r="H667" t="s">
        <v>140</v>
      </c>
      <c r="I667" t="s">
        <v>527</v>
      </c>
      <c r="J667" t="s">
        <v>1714</v>
      </c>
    </row>
    <row r="668" spans="1:10" x14ac:dyDescent="0.35">
      <c r="A668" t="s">
        <v>1715</v>
      </c>
      <c r="B668" t="s">
        <v>10</v>
      </c>
      <c r="C668" t="s">
        <v>37</v>
      </c>
      <c r="D668">
        <v>311.89999999999998</v>
      </c>
      <c r="E668">
        <v>3</v>
      </c>
      <c r="F668" s="6">
        <v>36.75</v>
      </c>
      <c r="G668" s="4">
        <v>21.94</v>
      </c>
      <c r="H668" t="s">
        <v>18</v>
      </c>
      <c r="I668" t="s">
        <v>996</v>
      </c>
      <c r="J668" t="s">
        <v>1716</v>
      </c>
    </row>
    <row r="669" spans="1:10" x14ac:dyDescent="0.35">
      <c r="A669" t="s">
        <v>1717</v>
      </c>
      <c r="B669" t="s">
        <v>16</v>
      </c>
      <c r="C669" t="s">
        <v>17</v>
      </c>
      <c r="D669">
        <v>228.05</v>
      </c>
      <c r="E669">
        <v>5</v>
      </c>
      <c r="F669" s="6">
        <v>34.909999999999997</v>
      </c>
      <c r="G669" s="4">
        <v>53.52</v>
      </c>
      <c r="H669" t="s">
        <v>693</v>
      </c>
      <c r="I669" t="s">
        <v>29</v>
      </c>
      <c r="J669" t="s">
        <v>1718</v>
      </c>
    </row>
    <row r="670" spans="1:10" x14ac:dyDescent="0.35">
      <c r="A670" t="s">
        <v>1719</v>
      </c>
      <c r="B670" t="s">
        <v>42</v>
      </c>
      <c r="C670" t="s">
        <v>89</v>
      </c>
      <c r="D670">
        <v>187.43</v>
      </c>
      <c r="E670">
        <v>3</v>
      </c>
      <c r="F670" s="6">
        <v>36.950000000000003</v>
      </c>
      <c r="G670" s="4">
        <v>71.709999999999994</v>
      </c>
      <c r="H670" t="s">
        <v>883</v>
      </c>
      <c r="I670" t="s">
        <v>750</v>
      </c>
      <c r="J670" t="s">
        <v>1720</v>
      </c>
    </row>
    <row r="671" spans="1:10" x14ac:dyDescent="0.35">
      <c r="A671" t="s">
        <v>1721</v>
      </c>
      <c r="B671" t="s">
        <v>42</v>
      </c>
      <c r="C671" t="s">
        <v>61</v>
      </c>
      <c r="D671">
        <v>295.57</v>
      </c>
      <c r="E671">
        <v>3</v>
      </c>
      <c r="F671" s="6">
        <v>24.8</v>
      </c>
      <c r="G671" s="4">
        <v>91.71</v>
      </c>
      <c r="H671" t="s">
        <v>140</v>
      </c>
      <c r="I671" t="s">
        <v>49</v>
      </c>
      <c r="J671" t="s">
        <v>1722</v>
      </c>
    </row>
    <row r="672" spans="1:10" x14ac:dyDescent="0.35">
      <c r="A672" t="s">
        <v>1723</v>
      </c>
      <c r="B672" t="s">
        <v>10</v>
      </c>
      <c r="C672" t="s">
        <v>56</v>
      </c>
      <c r="D672">
        <v>232.06</v>
      </c>
      <c r="E672">
        <v>3</v>
      </c>
      <c r="F672" s="6">
        <v>8.15</v>
      </c>
      <c r="G672" s="4">
        <v>82.27</v>
      </c>
      <c r="H672" t="s">
        <v>58</v>
      </c>
      <c r="I672" t="s">
        <v>549</v>
      </c>
      <c r="J672" t="s">
        <v>1724</v>
      </c>
    </row>
    <row r="673" spans="1:10" x14ac:dyDescent="0.35">
      <c r="A673" t="s">
        <v>1725</v>
      </c>
      <c r="B673" t="s">
        <v>16</v>
      </c>
      <c r="C673" t="s">
        <v>27</v>
      </c>
      <c r="D673">
        <v>117.21</v>
      </c>
      <c r="E673">
        <v>5</v>
      </c>
      <c r="F673" s="6">
        <v>42.66</v>
      </c>
      <c r="G673" s="4">
        <v>29.06</v>
      </c>
      <c r="H673" t="s">
        <v>85</v>
      </c>
      <c r="I673" t="s">
        <v>338</v>
      </c>
      <c r="J673" t="s">
        <v>1726</v>
      </c>
    </row>
    <row r="674" spans="1:10" x14ac:dyDescent="0.35">
      <c r="A674" t="s">
        <v>1727</v>
      </c>
      <c r="B674" t="s">
        <v>16</v>
      </c>
      <c r="C674" t="s">
        <v>37</v>
      </c>
      <c r="D674">
        <v>121.26</v>
      </c>
      <c r="E674">
        <v>5</v>
      </c>
      <c r="F674" s="6">
        <v>33.33</v>
      </c>
      <c r="G674" s="4">
        <v>33.119999999999997</v>
      </c>
      <c r="H674" t="s">
        <v>189</v>
      </c>
      <c r="I674" t="s">
        <v>572</v>
      </c>
      <c r="J674" t="s">
        <v>1728</v>
      </c>
    </row>
    <row r="675" spans="1:10" x14ac:dyDescent="0.35">
      <c r="A675" t="s">
        <v>1729</v>
      </c>
      <c r="B675" t="s">
        <v>42</v>
      </c>
      <c r="C675" t="s">
        <v>61</v>
      </c>
      <c r="D675">
        <v>225.77</v>
      </c>
      <c r="E675">
        <v>4</v>
      </c>
      <c r="F675" s="6">
        <v>15.21</v>
      </c>
      <c r="G675" s="4">
        <v>26.74</v>
      </c>
      <c r="H675" t="s">
        <v>58</v>
      </c>
      <c r="I675" t="s">
        <v>143</v>
      </c>
      <c r="J675" t="s">
        <v>1730</v>
      </c>
    </row>
    <row r="676" spans="1:10" x14ac:dyDescent="0.35">
      <c r="A676" t="s">
        <v>1731</v>
      </c>
      <c r="B676" t="s">
        <v>10</v>
      </c>
      <c r="C676" t="s">
        <v>61</v>
      </c>
      <c r="D676">
        <v>204.16</v>
      </c>
      <c r="E676">
        <v>4</v>
      </c>
      <c r="F676" s="6">
        <v>22.13</v>
      </c>
      <c r="G676" s="4">
        <v>77.959999999999994</v>
      </c>
      <c r="H676" t="s">
        <v>380</v>
      </c>
      <c r="I676" t="s">
        <v>24</v>
      </c>
      <c r="J676" t="s">
        <v>1732</v>
      </c>
    </row>
    <row r="677" spans="1:10" x14ac:dyDescent="0.35">
      <c r="A677" t="s">
        <v>1733</v>
      </c>
      <c r="B677" t="s">
        <v>42</v>
      </c>
      <c r="C677" t="s">
        <v>89</v>
      </c>
      <c r="D677">
        <v>115.81</v>
      </c>
      <c r="E677">
        <v>5</v>
      </c>
      <c r="F677" s="6">
        <v>32.130000000000003</v>
      </c>
      <c r="G677" s="4">
        <v>30.09</v>
      </c>
      <c r="H677" t="s">
        <v>856</v>
      </c>
      <c r="I677" t="s">
        <v>658</v>
      </c>
      <c r="J677" t="s">
        <v>1734</v>
      </c>
    </row>
    <row r="678" spans="1:10" x14ac:dyDescent="0.35">
      <c r="A678" t="s">
        <v>1735</v>
      </c>
      <c r="B678" t="s">
        <v>42</v>
      </c>
      <c r="C678" t="s">
        <v>61</v>
      </c>
      <c r="D678">
        <v>227.41</v>
      </c>
      <c r="E678">
        <v>4</v>
      </c>
      <c r="F678" s="6">
        <v>5.91</v>
      </c>
      <c r="G678" s="4">
        <v>99.68</v>
      </c>
      <c r="H678" t="s">
        <v>575</v>
      </c>
      <c r="I678" t="s">
        <v>367</v>
      </c>
      <c r="J678" t="s">
        <v>1736</v>
      </c>
    </row>
    <row r="679" spans="1:10" x14ac:dyDescent="0.35">
      <c r="A679" t="s">
        <v>1737</v>
      </c>
      <c r="B679" t="s">
        <v>10</v>
      </c>
      <c r="C679" t="s">
        <v>17</v>
      </c>
      <c r="D679">
        <v>309.99</v>
      </c>
      <c r="E679">
        <v>3</v>
      </c>
      <c r="F679" s="6">
        <v>8.59</v>
      </c>
      <c r="G679" s="4">
        <v>16.66</v>
      </c>
      <c r="H679" t="s">
        <v>315</v>
      </c>
      <c r="I679" t="s">
        <v>1675</v>
      </c>
      <c r="J679" t="s">
        <v>1738</v>
      </c>
    </row>
    <row r="680" spans="1:10" x14ac:dyDescent="0.35">
      <c r="A680" t="s">
        <v>1739</v>
      </c>
      <c r="B680" t="s">
        <v>10</v>
      </c>
      <c r="C680" t="s">
        <v>89</v>
      </c>
      <c r="D680">
        <v>467.41</v>
      </c>
      <c r="E680">
        <v>5</v>
      </c>
      <c r="F680" s="6">
        <v>6.95</v>
      </c>
      <c r="G680" s="4">
        <v>96.6</v>
      </c>
      <c r="H680" t="s">
        <v>510</v>
      </c>
      <c r="I680" t="s">
        <v>323</v>
      </c>
      <c r="J680" t="s">
        <v>1740</v>
      </c>
    </row>
    <row r="681" spans="1:10" x14ac:dyDescent="0.35">
      <c r="A681" t="s">
        <v>1741</v>
      </c>
      <c r="B681" t="s">
        <v>16</v>
      </c>
      <c r="C681" t="s">
        <v>22</v>
      </c>
      <c r="D681">
        <v>318.52999999999997</v>
      </c>
      <c r="E681">
        <v>3</v>
      </c>
      <c r="F681" s="6">
        <v>45.56</v>
      </c>
      <c r="G681" s="4">
        <v>76.97</v>
      </c>
      <c r="H681" t="s">
        <v>1392</v>
      </c>
      <c r="I681" t="s">
        <v>311</v>
      </c>
      <c r="J681" t="s">
        <v>1742</v>
      </c>
    </row>
    <row r="682" spans="1:10" x14ac:dyDescent="0.35">
      <c r="A682" t="s">
        <v>1743</v>
      </c>
      <c r="B682" t="s">
        <v>42</v>
      </c>
      <c r="C682" t="s">
        <v>11</v>
      </c>
      <c r="D682">
        <v>494.76</v>
      </c>
      <c r="E682">
        <v>3</v>
      </c>
      <c r="F682" s="6">
        <v>32.450000000000003</v>
      </c>
      <c r="G682" s="4">
        <v>22.32</v>
      </c>
      <c r="H682" t="s">
        <v>423</v>
      </c>
      <c r="I682" t="s">
        <v>477</v>
      </c>
      <c r="J682" t="s">
        <v>1744</v>
      </c>
    </row>
    <row r="683" spans="1:10" x14ac:dyDescent="0.35">
      <c r="A683" t="s">
        <v>1745</v>
      </c>
      <c r="B683" t="s">
        <v>10</v>
      </c>
      <c r="C683" t="s">
        <v>56</v>
      </c>
      <c r="D683">
        <v>188.17</v>
      </c>
      <c r="E683">
        <v>4</v>
      </c>
      <c r="F683" s="6">
        <v>49.16</v>
      </c>
      <c r="G683" s="4">
        <v>16.61</v>
      </c>
      <c r="H683" t="s">
        <v>1304</v>
      </c>
      <c r="I683" t="s">
        <v>124</v>
      </c>
      <c r="J683" t="s">
        <v>1746</v>
      </c>
    </row>
    <row r="684" spans="1:10" x14ac:dyDescent="0.35">
      <c r="A684" t="s">
        <v>1747</v>
      </c>
      <c r="B684" t="s">
        <v>42</v>
      </c>
      <c r="C684" t="s">
        <v>61</v>
      </c>
      <c r="D684">
        <v>387.31</v>
      </c>
      <c r="E684">
        <v>4</v>
      </c>
      <c r="F684" s="6">
        <v>27.45</v>
      </c>
      <c r="G684" s="4">
        <v>31.16</v>
      </c>
      <c r="H684" t="s">
        <v>396</v>
      </c>
      <c r="I684" t="s">
        <v>329</v>
      </c>
      <c r="J684" t="s">
        <v>1748</v>
      </c>
    </row>
    <row r="685" spans="1:10" x14ac:dyDescent="0.35">
      <c r="A685" t="s">
        <v>1749</v>
      </c>
      <c r="B685" t="s">
        <v>16</v>
      </c>
      <c r="C685" t="s">
        <v>47</v>
      </c>
      <c r="D685">
        <v>211.38</v>
      </c>
      <c r="E685">
        <v>3</v>
      </c>
      <c r="F685" s="6">
        <v>11.15</v>
      </c>
      <c r="G685" s="4">
        <v>91.54</v>
      </c>
      <c r="H685" t="s">
        <v>510</v>
      </c>
      <c r="I685" t="s">
        <v>742</v>
      </c>
      <c r="J685" t="s">
        <v>1750</v>
      </c>
    </row>
    <row r="686" spans="1:10" x14ac:dyDescent="0.35">
      <c r="A686" t="s">
        <v>1751</v>
      </c>
      <c r="B686" t="s">
        <v>42</v>
      </c>
      <c r="C686" t="s">
        <v>61</v>
      </c>
      <c r="D686">
        <v>284.12</v>
      </c>
      <c r="E686">
        <v>3</v>
      </c>
      <c r="F686" s="6">
        <v>21.93</v>
      </c>
      <c r="G686" s="4">
        <v>47.7</v>
      </c>
      <c r="H686" t="s">
        <v>79</v>
      </c>
      <c r="I686" t="s">
        <v>792</v>
      </c>
      <c r="J686" t="s">
        <v>1752</v>
      </c>
    </row>
    <row r="687" spans="1:10" x14ac:dyDescent="0.35">
      <c r="A687" t="s">
        <v>1753</v>
      </c>
      <c r="B687" t="s">
        <v>42</v>
      </c>
      <c r="C687" t="s">
        <v>11</v>
      </c>
      <c r="D687">
        <v>257.97000000000003</v>
      </c>
      <c r="E687">
        <v>3</v>
      </c>
      <c r="F687" s="6">
        <v>43.6</v>
      </c>
      <c r="G687" s="4">
        <v>65.59</v>
      </c>
      <c r="H687" t="s">
        <v>1754</v>
      </c>
      <c r="I687" t="s">
        <v>351</v>
      </c>
      <c r="J687" t="s">
        <v>1755</v>
      </c>
    </row>
    <row r="688" spans="1:10" x14ac:dyDescent="0.35">
      <c r="A688" t="s">
        <v>1756</v>
      </c>
      <c r="B688" t="s">
        <v>10</v>
      </c>
      <c r="C688" t="s">
        <v>32</v>
      </c>
      <c r="D688">
        <v>374.39</v>
      </c>
      <c r="E688">
        <v>4</v>
      </c>
      <c r="F688" s="6">
        <v>1.03</v>
      </c>
      <c r="G688" s="4">
        <v>72.180000000000007</v>
      </c>
      <c r="H688" t="s">
        <v>260</v>
      </c>
      <c r="I688" t="s">
        <v>1178</v>
      </c>
      <c r="J688" t="s">
        <v>1757</v>
      </c>
    </row>
    <row r="689" spans="1:10" x14ac:dyDescent="0.35">
      <c r="A689" t="s">
        <v>1758</v>
      </c>
      <c r="B689" t="s">
        <v>16</v>
      </c>
      <c r="C689" t="s">
        <v>27</v>
      </c>
      <c r="D689">
        <v>381.74</v>
      </c>
      <c r="E689">
        <v>4</v>
      </c>
      <c r="F689" s="6">
        <v>17.62</v>
      </c>
      <c r="G689" s="4">
        <v>10.58</v>
      </c>
      <c r="H689" t="s">
        <v>135</v>
      </c>
      <c r="I689" t="s">
        <v>364</v>
      </c>
      <c r="J689" t="s">
        <v>1759</v>
      </c>
    </row>
    <row r="690" spans="1:10" x14ac:dyDescent="0.35">
      <c r="A690" t="s">
        <v>1760</v>
      </c>
      <c r="B690" t="s">
        <v>42</v>
      </c>
      <c r="C690" t="s">
        <v>89</v>
      </c>
      <c r="D690">
        <v>401.9</v>
      </c>
      <c r="E690">
        <v>3</v>
      </c>
      <c r="F690" s="6">
        <v>38.32</v>
      </c>
      <c r="G690" s="4">
        <v>31.17</v>
      </c>
      <c r="H690" t="s">
        <v>686</v>
      </c>
      <c r="I690" t="s">
        <v>1761</v>
      </c>
      <c r="J690" t="s">
        <v>1762</v>
      </c>
    </row>
    <row r="691" spans="1:10" x14ac:dyDescent="0.35">
      <c r="A691" t="s">
        <v>1763</v>
      </c>
      <c r="B691" t="s">
        <v>16</v>
      </c>
      <c r="C691" t="s">
        <v>17</v>
      </c>
      <c r="D691">
        <v>93.68</v>
      </c>
      <c r="E691">
        <v>4</v>
      </c>
      <c r="F691" s="6">
        <v>3.35</v>
      </c>
      <c r="G691" s="4">
        <v>56.88</v>
      </c>
      <c r="H691" t="s">
        <v>633</v>
      </c>
      <c r="I691" t="s">
        <v>284</v>
      </c>
      <c r="J691" t="s">
        <v>1764</v>
      </c>
    </row>
    <row r="692" spans="1:10" x14ac:dyDescent="0.35">
      <c r="A692" t="s">
        <v>1765</v>
      </c>
      <c r="B692" t="s">
        <v>10</v>
      </c>
      <c r="C692" t="s">
        <v>47</v>
      </c>
      <c r="D692">
        <v>174.76</v>
      </c>
      <c r="E692">
        <v>4</v>
      </c>
      <c r="F692" s="6">
        <v>2.52</v>
      </c>
      <c r="G692" s="4">
        <v>17.32</v>
      </c>
      <c r="H692" t="s">
        <v>955</v>
      </c>
      <c r="I692" t="s">
        <v>401</v>
      </c>
      <c r="J692" t="s">
        <v>1766</v>
      </c>
    </row>
    <row r="693" spans="1:10" x14ac:dyDescent="0.35">
      <c r="A693" t="s">
        <v>1767</v>
      </c>
      <c r="B693" t="s">
        <v>10</v>
      </c>
      <c r="C693" t="s">
        <v>27</v>
      </c>
      <c r="D693">
        <v>232.72</v>
      </c>
      <c r="E693">
        <v>5</v>
      </c>
      <c r="F693" s="6">
        <v>22.34</v>
      </c>
      <c r="G693" s="4">
        <v>74.66</v>
      </c>
      <c r="H693" t="s">
        <v>618</v>
      </c>
      <c r="I693" t="s">
        <v>274</v>
      </c>
      <c r="J693" t="s">
        <v>1768</v>
      </c>
    </row>
    <row r="694" spans="1:10" x14ac:dyDescent="0.35">
      <c r="A694" t="s">
        <v>1769</v>
      </c>
      <c r="B694" t="s">
        <v>42</v>
      </c>
      <c r="C694" t="s">
        <v>27</v>
      </c>
      <c r="D694">
        <v>345.79</v>
      </c>
      <c r="E694">
        <v>4</v>
      </c>
      <c r="F694" s="6">
        <v>26.26</v>
      </c>
      <c r="G694" s="4">
        <v>63</v>
      </c>
      <c r="H694" t="s">
        <v>351</v>
      </c>
      <c r="I694" t="s">
        <v>1001</v>
      </c>
      <c r="J694" t="s">
        <v>1770</v>
      </c>
    </row>
    <row r="695" spans="1:10" x14ac:dyDescent="0.35">
      <c r="A695" t="s">
        <v>1771</v>
      </c>
      <c r="B695" t="s">
        <v>16</v>
      </c>
      <c r="C695" t="s">
        <v>56</v>
      </c>
      <c r="D695">
        <v>284.7</v>
      </c>
      <c r="E695">
        <v>3</v>
      </c>
      <c r="F695" s="6">
        <v>14.41</v>
      </c>
      <c r="G695" s="4">
        <v>92.35</v>
      </c>
      <c r="H695" t="s">
        <v>1205</v>
      </c>
      <c r="I695" t="s">
        <v>651</v>
      </c>
      <c r="J695" t="s">
        <v>1772</v>
      </c>
    </row>
    <row r="696" spans="1:10" x14ac:dyDescent="0.35">
      <c r="A696" t="s">
        <v>1773</v>
      </c>
      <c r="B696" t="s">
        <v>42</v>
      </c>
      <c r="C696" t="s">
        <v>27</v>
      </c>
      <c r="D696">
        <v>469.51</v>
      </c>
      <c r="E696">
        <v>4</v>
      </c>
      <c r="F696" s="6">
        <v>16.260000000000002</v>
      </c>
      <c r="G696" s="4">
        <v>64.66</v>
      </c>
      <c r="H696" t="s">
        <v>252</v>
      </c>
      <c r="I696" t="s">
        <v>220</v>
      </c>
      <c r="J696" t="s">
        <v>1774</v>
      </c>
    </row>
    <row r="697" spans="1:10" x14ac:dyDescent="0.35">
      <c r="A697" t="s">
        <v>1775</v>
      </c>
      <c r="B697" t="s">
        <v>16</v>
      </c>
      <c r="C697" t="s">
        <v>22</v>
      </c>
      <c r="D697">
        <v>289.57</v>
      </c>
      <c r="E697">
        <v>4</v>
      </c>
      <c r="F697" s="6">
        <v>37.36</v>
      </c>
      <c r="G697" s="4">
        <v>26.22</v>
      </c>
      <c r="H697" t="s">
        <v>1328</v>
      </c>
      <c r="I697" t="s">
        <v>281</v>
      </c>
      <c r="J697" t="s">
        <v>1776</v>
      </c>
    </row>
    <row r="698" spans="1:10" x14ac:dyDescent="0.35">
      <c r="A698" t="s">
        <v>1777</v>
      </c>
      <c r="B698" t="s">
        <v>16</v>
      </c>
      <c r="C698" t="s">
        <v>56</v>
      </c>
      <c r="D698">
        <v>192.06</v>
      </c>
      <c r="E698">
        <v>5</v>
      </c>
      <c r="F698" s="6">
        <v>28.08</v>
      </c>
      <c r="G698" s="4">
        <v>61.65</v>
      </c>
      <c r="H698" t="s">
        <v>804</v>
      </c>
      <c r="I698" t="s">
        <v>506</v>
      </c>
      <c r="J698" t="s">
        <v>1778</v>
      </c>
    </row>
    <row r="699" spans="1:10" x14ac:dyDescent="0.35">
      <c r="A699" t="s">
        <v>1779</v>
      </c>
      <c r="B699" t="s">
        <v>10</v>
      </c>
      <c r="C699" t="s">
        <v>11</v>
      </c>
      <c r="D699">
        <v>293.77999999999997</v>
      </c>
      <c r="E699">
        <v>5</v>
      </c>
      <c r="F699" s="6">
        <v>3.15</v>
      </c>
      <c r="G699" s="4">
        <v>59.25</v>
      </c>
      <c r="H699" t="s">
        <v>1261</v>
      </c>
      <c r="I699" t="s">
        <v>727</v>
      </c>
      <c r="J699" t="s">
        <v>1780</v>
      </c>
    </row>
    <row r="700" spans="1:10" x14ac:dyDescent="0.35">
      <c r="A700" t="s">
        <v>1781</v>
      </c>
      <c r="B700" t="s">
        <v>16</v>
      </c>
      <c r="C700" t="s">
        <v>61</v>
      </c>
      <c r="D700">
        <v>121.84</v>
      </c>
      <c r="E700">
        <v>5</v>
      </c>
      <c r="F700" s="6">
        <v>1.51</v>
      </c>
      <c r="G700" s="4">
        <v>82.16</v>
      </c>
      <c r="H700" t="s">
        <v>571</v>
      </c>
      <c r="I700" t="s">
        <v>287</v>
      </c>
      <c r="J700" t="s">
        <v>1782</v>
      </c>
    </row>
    <row r="701" spans="1:10" x14ac:dyDescent="0.35">
      <c r="A701" t="s">
        <v>1783</v>
      </c>
      <c r="B701" t="s">
        <v>42</v>
      </c>
      <c r="C701" t="s">
        <v>17</v>
      </c>
      <c r="D701">
        <v>355.9</v>
      </c>
      <c r="E701">
        <v>5</v>
      </c>
      <c r="F701" s="6">
        <v>17.77</v>
      </c>
      <c r="G701" s="4">
        <v>98.11</v>
      </c>
      <c r="H701" t="s">
        <v>1387</v>
      </c>
      <c r="I701" t="s">
        <v>462</v>
      </c>
      <c r="J701" t="s">
        <v>1784</v>
      </c>
    </row>
    <row r="702" spans="1:10" x14ac:dyDescent="0.35">
      <c r="A702" t="s">
        <v>1785</v>
      </c>
      <c r="B702" t="s">
        <v>16</v>
      </c>
      <c r="C702" t="s">
        <v>37</v>
      </c>
      <c r="D702">
        <v>87.2</v>
      </c>
      <c r="E702">
        <v>3</v>
      </c>
      <c r="F702" s="6">
        <v>16.29</v>
      </c>
      <c r="G702" s="4">
        <v>55.57</v>
      </c>
      <c r="H702" t="s">
        <v>834</v>
      </c>
      <c r="I702" t="s">
        <v>34</v>
      </c>
      <c r="J702" t="s">
        <v>1786</v>
      </c>
    </row>
    <row r="703" spans="1:10" x14ac:dyDescent="0.35">
      <c r="A703" t="s">
        <v>1787</v>
      </c>
      <c r="B703" t="s">
        <v>16</v>
      </c>
      <c r="C703" t="s">
        <v>17</v>
      </c>
      <c r="D703">
        <v>223.74</v>
      </c>
      <c r="E703">
        <v>3</v>
      </c>
      <c r="F703" s="6">
        <v>29.2</v>
      </c>
      <c r="G703" s="4">
        <v>75.180000000000007</v>
      </c>
      <c r="H703" t="s">
        <v>75</v>
      </c>
      <c r="I703" t="s">
        <v>23</v>
      </c>
      <c r="J703" t="s">
        <v>1788</v>
      </c>
    </row>
    <row r="704" spans="1:10" x14ac:dyDescent="0.35">
      <c r="A704" t="s">
        <v>1789</v>
      </c>
      <c r="B704" t="s">
        <v>42</v>
      </c>
      <c r="C704" t="s">
        <v>11</v>
      </c>
      <c r="D704">
        <v>202.42</v>
      </c>
      <c r="E704">
        <v>4</v>
      </c>
      <c r="F704" s="6">
        <v>44.57</v>
      </c>
      <c r="G704" s="4">
        <v>19.77</v>
      </c>
      <c r="H704" t="s">
        <v>1790</v>
      </c>
      <c r="I704" t="s">
        <v>266</v>
      </c>
      <c r="J704" t="s">
        <v>1791</v>
      </c>
    </row>
    <row r="705" spans="1:10" x14ac:dyDescent="0.35">
      <c r="A705" t="s">
        <v>1792</v>
      </c>
      <c r="B705" t="s">
        <v>10</v>
      </c>
      <c r="C705" t="s">
        <v>61</v>
      </c>
      <c r="D705">
        <v>367.69</v>
      </c>
      <c r="E705">
        <v>4</v>
      </c>
      <c r="F705" s="6">
        <v>41.69</v>
      </c>
      <c r="G705" s="4">
        <v>27.18</v>
      </c>
      <c r="H705" t="s">
        <v>1047</v>
      </c>
      <c r="I705" t="s">
        <v>462</v>
      </c>
      <c r="J705" t="s">
        <v>1793</v>
      </c>
    </row>
    <row r="706" spans="1:10" x14ac:dyDescent="0.35">
      <c r="A706" t="s">
        <v>1794</v>
      </c>
      <c r="B706" t="s">
        <v>10</v>
      </c>
      <c r="C706" t="s">
        <v>17</v>
      </c>
      <c r="D706">
        <v>360.32</v>
      </c>
      <c r="E706">
        <v>4</v>
      </c>
      <c r="F706" s="6">
        <v>26.57</v>
      </c>
      <c r="G706" s="4">
        <v>12.89</v>
      </c>
      <c r="H706" t="s">
        <v>132</v>
      </c>
      <c r="I706" t="s">
        <v>1119</v>
      </c>
      <c r="J706" t="s">
        <v>1795</v>
      </c>
    </row>
    <row r="707" spans="1:10" x14ac:dyDescent="0.35">
      <c r="A707" t="s">
        <v>1796</v>
      </c>
      <c r="B707" t="s">
        <v>10</v>
      </c>
      <c r="C707" t="s">
        <v>56</v>
      </c>
      <c r="D707">
        <v>169.54</v>
      </c>
      <c r="E707">
        <v>4</v>
      </c>
      <c r="F707" s="6">
        <v>5.04</v>
      </c>
      <c r="G707" s="4">
        <v>81.93</v>
      </c>
      <c r="H707" t="s">
        <v>621</v>
      </c>
      <c r="I707" t="s">
        <v>416</v>
      </c>
      <c r="J707" t="s">
        <v>1797</v>
      </c>
    </row>
    <row r="708" spans="1:10" x14ac:dyDescent="0.35">
      <c r="A708" t="s">
        <v>1798</v>
      </c>
      <c r="B708" t="s">
        <v>10</v>
      </c>
      <c r="C708" t="s">
        <v>61</v>
      </c>
      <c r="D708">
        <v>358.86</v>
      </c>
      <c r="E708">
        <v>5</v>
      </c>
      <c r="F708" s="6">
        <v>41.68</v>
      </c>
      <c r="G708" s="4">
        <v>90.86</v>
      </c>
      <c r="H708" t="s">
        <v>263</v>
      </c>
      <c r="I708" t="s">
        <v>182</v>
      </c>
      <c r="J708" t="s">
        <v>1799</v>
      </c>
    </row>
    <row r="709" spans="1:10" x14ac:dyDescent="0.35">
      <c r="A709" t="s">
        <v>1800</v>
      </c>
      <c r="B709" t="s">
        <v>16</v>
      </c>
      <c r="C709" t="s">
        <v>56</v>
      </c>
      <c r="D709">
        <v>439.3</v>
      </c>
      <c r="E709">
        <v>3</v>
      </c>
      <c r="F709" s="6">
        <v>44.45</v>
      </c>
      <c r="G709" s="4">
        <v>91.47</v>
      </c>
      <c r="H709" t="s">
        <v>367</v>
      </c>
      <c r="I709" t="s">
        <v>516</v>
      </c>
      <c r="J709" t="s">
        <v>1801</v>
      </c>
    </row>
    <row r="710" spans="1:10" x14ac:dyDescent="0.35">
      <c r="A710" t="s">
        <v>1802</v>
      </c>
      <c r="B710" t="s">
        <v>42</v>
      </c>
      <c r="C710" t="s">
        <v>61</v>
      </c>
      <c r="D710">
        <v>206.83</v>
      </c>
      <c r="E710">
        <v>5</v>
      </c>
      <c r="F710" s="6">
        <v>5.09</v>
      </c>
      <c r="G710" s="4">
        <v>63.73</v>
      </c>
      <c r="H710" t="s">
        <v>484</v>
      </c>
      <c r="I710" t="s">
        <v>240</v>
      </c>
      <c r="J710" t="s">
        <v>1803</v>
      </c>
    </row>
    <row r="711" spans="1:10" x14ac:dyDescent="0.35">
      <c r="A711" t="s">
        <v>1804</v>
      </c>
      <c r="B711" t="s">
        <v>16</v>
      </c>
      <c r="C711" t="s">
        <v>89</v>
      </c>
      <c r="D711">
        <v>203.88</v>
      </c>
      <c r="E711">
        <v>4</v>
      </c>
      <c r="F711" s="6">
        <v>38.9</v>
      </c>
      <c r="G711" s="4">
        <v>63.24</v>
      </c>
      <c r="H711" t="s">
        <v>490</v>
      </c>
      <c r="I711" t="s">
        <v>1805</v>
      </c>
      <c r="J711" t="s">
        <v>1806</v>
      </c>
    </row>
    <row r="712" spans="1:10" x14ac:dyDescent="0.35">
      <c r="A712" t="s">
        <v>1807</v>
      </c>
      <c r="B712" t="s">
        <v>10</v>
      </c>
      <c r="C712" t="s">
        <v>32</v>
      </c>
      <c r="D712">
        <v>126.28</v>
      </c>
      <c r="E712">
        <v>3</v>
      </c>
      <c r="F712" s="6">
        <v>27.33</v>
      </c>
      <c r="G712" s="4">
        <v>90.8</v>
      </c>
      <c r="H712" t="s">
        <v>1790</v>
      </c>
      <c r="I712" t="s">
        <v>600</v>
      </c>
      <c r="J712" t="s">
        <v>1808</v>
      </c>
    </row>
    <row r="713" spans="1:10" x14ac:dyDescent="0.35">
      <c r="A713" t="s">
        <v>1809</v>
      </c>
      <c r="B713" t="s">
        <v>10</v>
      </c>
      <c r="C713" t="s">
        <v>11</v>
      </c>
      <c r="D713">
        <v>157.88999999999999</v>
      </c>
      <c r="E713">
        <v>3</v>
      </c>
      <c r="F713" s="6">
        <v>45.15</v>
      </c>
      <c r="G713" s="4">
        <v>36.07</v>
      </c>
      <c r="H713" t="s">
        <v>730</v>
      </c>
      <c r="I713" t="s">
        <v>571</v>
      </c>
      <c r="J713" t="s">
        <v>1810</v>
      </c>
    </row>
    <row r="714" spans="1:10" x14ac:dyDescent="0.35">
      <c r="A714" t="s">
        <v>1811</v>
      </c>
      <c r="B714" t="s">
        <v>10</v>
      </c>
      <c r="C714" t="s">
        <v>37</v>
      </c>
      <c r="D714">
        <v>90.97</v>
      </c>
      <c r="E714">
        <v>5</v>
      </c>
      <c r="F714" s="6">
        <v>5.04</v>
      </c>
      <c r="G714" s="4">
        <v>35.75</v>
      </c>
      <c r="H714" t="s">
        <v>679</v>
      </c>
      <c r="I714" t="s">
        <v>154</v>
      </c>
      <c r="J714" t="s">
        <v>1812</v>
      </c>
    </row>
    <row r="715" spans="1:10" x14ac:dyDescent="0.35">
      <c r="A715" t="s">
        <v>1813</v>
      </c>
      <c r="B715" t="s">
        <v>42</v>
      </c>
      <c r="C715" t="s">
        <v>11</v>
      </c>
      <c r="D715">
        <v>319.68</v>
      </c>
      <c r="E715">
        <v>4</v>
      </c>
      <c r="F715" s="6">
        <v>10.72</v>
      </c>
      <c r="G715" s="4">
        <v>77.19</v>
      </c>
      <c r="H715" t="s">
        <v>1038</v>
      </c>
      <c r="I715" t="s">
        <v>380</v>
      </c>
      <c r="J715" t="s">
        <v>1814</v>
      </c>
    </row>
    <row r="716" spans="1:10" x14ac:dyDescent="0.35">
      <c r="A716" t="s">
        <v>1815</v>
      </c>
      <c r="B716" t="s">
        <v>42</v>
      </c>
      <c r="C716" t="s">
        <v>22</v>
      </c>
      <c r="D716">
        <v>409.84</v>
      </c>
      <c r="E716">
        <v>3</v>
      </c>
      <c r="F716" s="6">
        <v>38.79</v>
      </c>
      <c r="G716" s="4">
        <v>16.13</v>
      </c>
      <c r="H716" t="s">
        <v>249</v>
      </c>
      <c r="I716" t="s">
        <v>1119</v>
      </c>
      <c r="J716" t="s">
        <v>1816</v>
      </c>
    </row>
    <row r="717" spans="1:10" x14ac:dyDescent="0.35">
      <c r="A717" t="s">
        <v>1817</v>
      </c>
      <c r="B717" t="s">
        <v>10</v>
      </c>
      <c r="C717" t="s">
        <v>89</v>
      </c>
      <c r="D717">
        <v>82.13</v>
      </c>
      <c r="E717">
        <v>4</v>
      </c>
      <c r="F717" s="6">
        <v>36.04</v>
      </c>
      <c r="G717" s="4">
        <v>15.39</v>
      </c>
      <c r="H717" t="s">
        <v>450</v>
      </c>
      <c r="I717" t="s">
        <v>256</v>
      </c>
      <c r="J717" t="s">
        <v>1818</v>
      </c>
    </row>
    <row r="718" spans="1:10" x14ac:dyDescent="0.35">
      <c r="A718" t="s">
        <v>1819</v>
      </c>
      <c r="B718" t="s">
        <v>42</v>
      </c>
      <c r="C718" t="s">
        <v>22</v>
      </c>
      <c r="D718">
        <v>98.34</v>
      </c>
      <c r="E718">
        <v>5</v>
      </c>
      <c r="F718" s="6">
        <v>29.1</v>
      </c>
      <c r="G718" s="4">
        <v>62.32</v>
      </c>
      <c r="H718" t="s">
        <v>558</v>
      </c>
      <c r="I718" t="s">
        <v>1261</v>
      </c>
      <c r="J718" t="s">
        <v>1820</v>
      </c>
    </row>
    <row r="719" spans="1:10" x14ac:dyDescent="0.35">
      <c r="A719" t="s">
        <v>1821</v>
      </c>
      <c r="B719" t="s">
        <v>10</v>
      </c>
      <c r="C719" t="s">
        <v>22</v>
      </c>
      <c r="D719">
        <v>209.43</v>
      </c>
      <c r="E719">
        <v>4</v>
      </c>
      <c r="F719" s="6">
        <v>24.84</v>
      </c>
      <c r="G719" s="4">
        <v>29.01</v>
      </c>
      <c r="H719" t="s">
        <v>43</v>
      </c>
      <c r="I719" t="s">
        <v>699</v>
      </c>
      <c r="J719" t="s">
        <v>1822</v>
      </c>
    </row>
    <row r="720" spans="1:10" x14ac:dyDescent="0.35">
      <c r="A720" t="s">
        <v>1823</v>
      </c>
      <c r="B720" t="s">
        <v>42</v>
      </c>
      <c r="C720" t="s">
        <v>11</v>
      </c>
      <c r="D720">
        <v>399.72</v>
      </c>
      <c r="E720">
        <v>3</v>
      </c>
      <c r="F720" s="6">
        <v>3.6</v>
      </c>
      <c r="G720" s="4">
        <v>26.23</v>
      </c>
      <c r="H720" t="s">
        <v>589</v>
      </c>
      <c r="I720" t="s">
        <v>600</v>
      </c>
      <c r="J720" t="s">
        <v>1824</v>
      </c>
    </row>
    <row r="721" spans="1:10" x14ac:dyDescent="0.35">
      <c r="A721" t="s">
        <v>1825</v>
      </c>
      <c r="B721" t="s">
        <v>10</v>
      </c>
      <c r="C721" t="s">
        <v>17</v>
      </c>
      <c r="D721">
        <v>477.38</v>
      </c>
      <c r="E721">
        <v>5</v>
      </c>
      <c r="F721" s="6">
        <v>11.5</v>
      </c>
      <c r="G721" s="4">
        <v>48.78</v>
      </c>
      <c r="H721" t="s">
        <v>67</v>
      </c>
      <c r="I721" t="s">
        <v>147</v>
      </c>
      <c r="J721" t="s">
        <v>1826</v>
      </c>
    </row>
    <row r="722" spans="1:10" x14ac:dyDescent="0.35">
      <c r="A722" t="s">
        <v>1827</v>
      </c>
      <c r="B722" t="s">
        <v>42</v>
      </c>
      <c r="C722" t="s">
        <v>47</v>
      </c>
      <c r="D722">
        <v>477.44</v>
      </c>
      <c r="E722">
        <v>5</v>
      </c>
      <c r="F722" s="6">
        <v>36.590000000000003</v>
      </c>
      <c r="G722" s="4">
        <v>32.119999999999997</v>
      </c>
      <c r="H722" t="s">
        <v>742</v>
      </c>
      <c r="I722" t="s">
        <v>555</v>
      </c>
      <c r="J722" t="s">
        <v>1828</v>
      </c>
    </row>
    <row r="723" spans="1:10" x14ac:dyDescent="0.35">
      <c r="A723" t="s">
        <v>1829</v>
      </c>
      <c r="B723" t="s">
        <v>10</v>
      </c>
      <c r="C723" t="s">
        <v>47</v>
      </c>
      <c r="D723">
        <v>427.16</v>
      </c>
      <c r="E723">
        <v>3</v>
      </c>
      <c r="F723" s="6">
        <v>41.79</v>
      </c>
      <c r="G723" s="4">
        <v>85.76</v>
      </c>
      <c r="H723" t="s">
        <v>49</v>
      </c>
      <c r="I723" t="s">
        <v>326</v>
      </c>
      <c r="J723" t="s">
        <v>1830</v>
      </c>
    </row>
    <row r="724" spans="1:10" x14ac:dyDescent="0.35">
      <c r="A724" t="s">
        <v>1831</v>
      </c>
      <c r="B724" t="s">
        <v>16</v>
      </c>
      <c r="C724" t="s">
        <v>22</v>
      </c>
      <c r="D724">
        <v>466.47</v>
      </c>
      <c r="E724">
        <v>4</v>
      </c>
      <c r="F724" s="6">
        <v>5.66</v>
      </c>
      <c r="G724" s="4">
        <v>43.12</v>
      </c>
      <c r="H724" t="s">
        <v>1090</v>
      </c>
      <c r="I724" t="s">
        <v>53</v>
      </c>
      <c r="J724" t="s">
        <v>1832</v>
      </c>
    </row>
    <row r="725" spans="1:10" x14ac:dyDescent="0.35">
      <c r="A725" t="s">
        <v>1833</v>
      </c>
      <c r="B725" t="s">
        <v>10</v>
      </c>
      <c r="C725" t="s">
        <v>22</v>
      </c>
      <c r="D725">
        <v>317.06</v>
      </c>
      <c r="E725">
        <v>3</v>
      </c>
      <c r="F725" s="6">
        <v>26.08</v>
      </c>
      <c r="G725" s="4">
        <v>74.66</v>
      </c>
      <c r="H725" t="s">
        <v>52</v>
      </c>
      <c r="I725" t="s">
        <v>240</v>
      </c>
      <c r="J725" t="s">
        <v>1834</v>
      </c>
    </row>
    <row r="726" spans="1:10" x14ac:dyDescent="0.35">
      <c r="A726" t="s">
        <v>1835</v>
      </c>
      <c r="B726" t="s">
        <v>16</v>
      </c>
      <c r="C726" t="s">
        <v>27</v>
      </c>
      <c r="D726">
        <v>65.819999999999993</v>
      </c>
      <c r="E726">
        <v>4</v>
      </c>
      <c r="F726" s="6">
        <v>8.19</v>
      </c>
      <c r="G726" s="4">
        <v>14.64</v>
      </c>
      <c r="H726" t="s">
        <v>52</v>
      </c>
      <c r="I726" t="s">
        <v>241</v>
      </c>
      <c r="J726" t="s">
        <v>1836</v>
      </c>
    </row>
    <row r="727" spans="1:10" x14ac:dyDescent="0.35">
      <c r="A727" t="s">
        <v>1837</v>
      </c>
      <c r="B727" t="s">
        <v>16</v>
      </c>
      <c r="C727" t="s">
        <v>37</v>
      </c>
      <c r="D727">
        <v>463.44</v>
      </c>
      <c r="E727">
        <v>3</v>
      </c>
      <c r="F727" s="6">
        <v>34.82</v>
      </c>
      <c r="G727" s="4">
        <v>44.74</v>
      </c>
      <c r="H727" t="s">
        <v>539</v>
      </c>
      <c r="I727" t="s">
        <v>38</v>
      </c>
      <c r="J727" t="s">
        <v>1838</v>
      </c>
    </row>
    <row r="728" spans="1:10" x14ac:dyDescent="0.35">
      <c r="A728" t="s">
        <v>1839</v>
      </c>
      <c r="B728" t="s">
        <v>10</v>
      </c>
      <c r="C728" t="s">
        <v>32</v>
      </c>
      <c r="D728">
        <v>233.98</v>
      </c>
      <c r="E728">
        <v>5</v>
      </c>
      <c r="F728" s="6">
        <v>43.8</v>
      </c>
      <c r="G728" s="4">
        <v>59.04</v>
      </c>
      <c r="H728" t="s">
        <v>118</v>
      </c>
      <c r="I728" t="s">
        <v>48</v>
      </c>
      <c r="J728" t="s">
        <v>1840</v>
      </c>
    </row>
    <row r="729" spans="1:10" x14ac:dyDescent="0.35">
      <c r="A729" t="s">
        <v>1841</v>
      </c>
      <c r="B729" t="s">
        <v>42</v>
      </c>
      <c r="C729" t="s">
        <v>17</v>
      </c>
      <c r="D729">
        <v>291.12</v>
      </c>
      <c r="E729">
        <v>3</v>
      </c>
      <c r="F729" s="6">
        <v>48.92</v>
      </c>
      <c r="G729" s="4">
        <v>17.27</v>
      </c>
      <c r="H729" t="s">
        <v>202</v>
      </c>
      <c r="I729" t="s">
        <v>437</v>
      </c>
      <c r="J729" t="s">
        <v>1842</v>
      </c>
    </row>
    <row r="730" spans="1:10" x14ac:dyDescent="0.35">
      <c r="A730" t="s">
        <v>1843</v>
      </c>
      <c r="B730" t="s">
        <v>42</v>
      </c>
      <c r="C730" t="s">
        <v>37</v>
      </c>
      <c r="D730">
        <v>393.7</v>
      </c>
      <c r="E730">
        <v>4</v>
      </c>
      <c r="F730" s="6">
        <v>23.72</v>
      </c>
      <c r="G730" s="4">
        <v>23.69</v>
      </c>
      <c r="H730" t="s">
        <v>79</v>
      </c>
      <c r="I730" t="s">
        <v>281</v>
      </c>
      <c r="J730" t="s">
        <v>1844</v>
      </c>
    </row>
    <row r="731" spans="1:10" x14ac:dyDescent="0.35">
      <c r="A731" t="s">
        <v>1845</v>
      </c>
      <c r="B731" t="s">
        <v>42</v>
      </c>
      <c r="C731" t="s">
        <v>89</v>
      </c>
      <c r="D731">
        <v>344.3</v>
      </c>
      <c r="E731">
        <v>4</v>
      </c>
      <c r="F731" s="6">
        <v>31.62</v>
      </c>
      <c r="G731" s="4">
        <v>79.739999999999995</v>
      </c>
      <c r="H731" t="s">
        <v>196</v>
      </c>
      <c r="I731" t="s">
        <v>1192</v>
      </c>
      <c r="J731" t="s">
        <v>1846</v>
      </c>
    </row>
    <row r="732" spans="1:10" x14ac:dyDescent="0.35">
      <c r="A732" t="s">
        <v>1847</v>
      </c>
      <c r="B732" t="s">
        <v>42</v>
      </c>
      <c r="C732" t="s">
        <v>37</v>
      </c>
      <c r="D732">
        <v>276.27</v>
      </c>
      <c r="E732">
        <v>4</v>
      </c>
      <c r="F732" s="6">
        <v>7.02</v>
      </c>
      <c r="G732" s="4">
        <v>78.819999999999993</v>
      </c>
      <c r="H732" t="s">
        <v>604</v>
      </c>
      <c r="I732" t="s">
        <v>270</v>
      </c>
      <c r="J732" t="s">
        <v>1848</v>
      </c>
    </row>
    <row r="733" spans="1:10" x14ac:dyDescent="0.35">
      <c r="A733" t="s">
        <v>1849</v>
      </c>
      <c r="B733" t="s">
        <v>10</v>
      </c>
      <c r="C733" t="s">
        <v>56</v>
      </c>
      <c r="D733">
        <v>423.1</v>
      </c>
      <c r="E733">
        <v>3</v>
      </c>
      <c r="F733" s="6">
        <v>17.36</v>
      </c>
      <c r="G733" s="4">
        <v>77.69</v>
      </c>
      <c r="H733" t="s">
        <v>29</v>
      </c>
      <c r="I733" t="s">
        <v>1418</v>
      </c>
      <c r="J733" t="s">
        <v>1850</v>
      </c>
    </row>
    <row r="734" spans="1:10" x14ac:dyDescent="0.35">
      <c r="A734" t="s">
        <v>1851</v>
      </c>
      <c r="B734" t="s">
        <v>16</v>
      </c>
      <c r="C734" t="s">
        <v>56</v>
      </c>
      <c r="D734">
        <v>263.54000000000002</v>
      </c>
      <c r="E734">
        <v>3</v>
      </c>
      <c r="F734" s="6">
        <v>41.17</v>
      </c>
      <c r="G734" s="4">
        <v>29.71</v>
      </c>
      <c r="H734" t="s">
        <v>273</v>
      </c>
      <c r="I734" t="s">
        <v>102</v>
      </c>
      <c r="J734" t="s">
        <v>1852</v>
      </c>
    </row>
    <row r="735" spans="1:10" x14ac:dyDescent="0.35">
      <c r="A735" t="s">
        <v>1853</v>
      </c>
      <c r="B735" t="s">
        <v>16</v>
      </c>
      <c r="C735" t="s">
        <v>56</v>
      </c>
      <c r="D735">
        <v>450.69</v>
      </c>
      <c r="E735">
        <v>5</v>
      </c>
      <c r="F735" s="6">
        <v>31.62</v>
      </c>
      <c r="G735" s="4">
        <v>86.24</v>
      </c>
      <c r="H735" t="s">
        <v>86</v>
      </c>
      <c r="I735" t="s">
        <v>1175</v>
      </c>
      <c r="J735" t="s">
        <v>1854</v>
      </c>
    </row>
    <row r="736" spans="1:10" x14ac:dyDescent="0.35">
      <c r="A736" t="s">
        <v>1855</v>
      </c>
      <c r="B736" t="s">
        <v>42</v>
      </c>
      <c r="C736" t="s">
        <v>47</v>
      </c>
      <c r="D736">
        <v>478.75</v>
      </c>
      <c r="E736">
        <v>3</v>
      </c>
      <c r="F736" s="6">
        <v>3.57</v>
      </c>
      <c r="G736" s="4">
        <v>60.9</v>
      </c>
      <c r="H736" t="s">
        <v>960</v>
      </c>
      <c r="I736" t="s">
        <v>49</v>
      </c>
      <c r="J736" t="s">
        <v>1856</v>
      </c>
    </row>
    <row r="737" spans="1:10" x14ac:dyDescent="0.35">
      <c r="A737" t="s">
        <v>1857</v>
      </c>
      <c r="B737" t="s">
        <v>10</v>
      </c>
      <c r="C737" t="s">
        <v>56</v>
      </c>
      <c r="D737">
        <v>230.23</v>
      </c>
      <c r="E737">
        <v>5</v>
      </c>
      <c r="F737" s="6">
        <v>26.05</v>
      </c>
      <c r="G737" s="4">
        <v>89.61</v>
      </c>
      <c r="H737" t="s">
        <v>1858</v>
      </c>
      <c r="I737" t="s">
        <v>186</v>
      </c>
      <c r="J737" t="s">
        <v>1859</v>
      </c>
    </row>
    <row r="738" spans="1:10" x14ac:dyDescent="0.35">
      <c r="A738" t="s">
        <v>1860</v>
      </c>
      <c r="B738" t="s">
        <v>10</v>
      </c>
      <c r="C738" t="s">
        <v>37</v>
      </c>
      <c r="D738">
        <v>438.32</v>
      </c>
      <c r="E738">
        <v>3</v>
      </c>
      <c r="F738" s="6">
        <v>21.13</v>
      </c>
      <c r="G738" s="4">
        <v>13.52</v>
      </c>
      <c r="H738" t="s">
        <v>554</v>
      </c>
      <c r="I738" t="s">
        <v>224</v>
      </c>
      <c r="J738" t="s">
        <v>1861</v>
      </c>
    </row>
    <row r="739" spans="1:10" x14ac:dyDescent="0.35">
      <c r="A739" t="s">
        <v>1862</v>
      </c>
      <c r="B739" t="s">
        <v>42</v>
      </c>
      <c r="C739" t="s">
        <v>22</v>
      </c>
      <c r="D739">
        <v>62.4</v>
      </c>
      <c r="E739">
        <v>3</v>
      </c>
      <c r="F739" s="6">
        <v>20.25</v>
      </c>
      <c r="G739" s="4">
        <v>85.95</v>
      </c>
      <c r="H739" t="s">
        <v>233</v>
      </c>
      <c r="I739" t="s">
        <v>566</v>
      </c>
      <c r="J739" t="s">
        <v>1124</v>
      </c>
    </row>
    <row r="740" spans="1:10" x14ac:dyDescent="0.35">
      <c r="A740" t="s">
        <v>1863</v>
      </c>
      <c r="B740" t="s">
        <v>42</v>
      </c>
      <c r="C740" t="s">
        <v>37</v>
      </c>
      <c r="D740">
        <v>407.06</v>
      </c>
      <c r="E740">
        <v>5</v>
      </c>
      <c r="F740" s="6">
        <v>6.9</v>
      </c>
      <c r="G740" s="4">
        <v>58.2</v>
      </c>
      <c r="H740" t="s">
        <v>758</v>
      </c>
      <c r="I740" t="s">
        <v>19</v>
      </c>
      <c r="J740" t="s">
        <v>1864</v>
      </c>
    </row>
    <row r="741" spans="1:10" x14ac:dyDescent="0.35">
      <c r="A741" t="s">
        <v>1865</v>
      </c>
      <c r="B741" t="s">
        <v>10</v>
      </c>
      <c r="C741" t="s">
        <v>27</v>
      </c>
      <c r="D741">
        <v>411.06</v>
      </c>
      <c r="E741">
        <v>5</v>
      </c>
      <c r="F741" s="6">
        <v>33.32</v>
      </c>
      <c r="G741" s="4">
        <v>80.27</v>
      </c>
      <c r="H741" t="s">
        <v>86</v>
      </c>
      <c r="I741" t="s">
        <v>497</v>
      </c>
      <c r="J741" t="s">
        <v>1866</v>
      </c>
    </row>
    <row r="742" spans="1:10" x14ac:dyDescent="0.35">
      <c r="A742" t="s">
        <v>1867</v>
      </c>
      <c r="B742" t="s">
        <v>10</v>
      </c>
      <c r="C742" t="s">
        <v>61</v>
      </c>
      <c r="D742">
        <v>373.91</v>
      </c>
      <c r="E742">
        <v>4</v>
      </c>
      <c r="F742" s="6">
        <v>26.07</v>
      </c>
      <c r="G742" s="4">
        <v>82.63</v>
      </c>
      <c r="H742" t="s">
        <v>277</v>
      </c>
      <c r="I742" t="s">
        <v>161</v>
      </c>
      <c r="J742" t="s">
        <v>1868</v>
      </c>
    </row>
    <row r="743" spans="1:10" x14ac:dyDescent="0.35">
      <c r="A743" t="s">
        <v>1869</v>
      </c>
      <c r="B743" t="s">
        <v>42</v>
      </c>
      <c r="C743" t="s">
        <v>37</v>
      </c>
      <c r="D743">
        <v>429.25</v>
      </c>
      <c r="E743">
        <v>3</v>
      </c>
      <c r="F743" s="6">
        <v>19.88</v>
      </c>
      <c r="G743" s="4">
        <v>87.18</v>
      </c>
      <c r="H743" t="s">
        <v>610</v>
      </c>
      <c r="I743" t="s">
        <v>477</v>
      </c>
      <c r="J743" t="s">
        <v>1870</v>
      </c>
    </row>
    <row r="744" spans="1:10" x14ac:dyDescent="0.35">
      <c r="A744" t="s">
        <v>1871</v>
      </c>
      <c r="B744" t="s">
        <v>42</v>
      </c>
      <c r="C744" t="s">
        <v>89</v>
      </c>
      <c r="D744">
        <v>221.19</v>
      </c>
      <c r="E744">
        <v>3</v>
      </c>
      <c r="F744" s="6">
        <v>37.770000000000003</v>
      </c>
      <c r="G744" s="4">
        <v>67.739999999999995</v>
      </c>
      <c r="H744" t="s">
        <v>490</v>
      </c>
      <c r="I744" t="s">
        <v>812</v>
      </c>
      <c r="J744" t="s">
        <v>1872</v>
      </c>
    </row>
    <row r="745" spans="1:10" x14ac:dyDescent="0.35">
      <c r="A745" t="s">
        <v>1873</v>
      </c>
      <c r="B745" t="s">
        <v>10</v>
      </c>
      <c r="C745" t="s">
        <v>37</v>
      </c>
      <c r="D745">
        <v>481.75</v>
      </c>
      <c r="E745">
        <v>4</v>
      </c>
      <c r="F745" s="6">
        <v>28.41</v>
      </c>
      <c r="G745" s="4">
        <v>84.51</v>
      </c>
      <c r="H745" t="s">
        <v>1001</v>
      </c>
      <c r="I745" t="s">
        <v>136</v>
      </c>
      <c r="J745" t="s">
        <v>1874</v>
      </c>
    </row>
    <row r="746" spans="1:10" x14ac:dyDescent="0.35">
      <c r="A746" t="s">
        <v>1875</v>
      </c>
      <c r="B746" t="s">
        <v>10</v>
      </c>
      <c r="C746" t="s">
        <v>61</v>
      </c>
      <c r="D746">
        <v>240.6</v>
      </c>
      <c r="E746">
        <v>5</v>
      </c>
      <c r="F746" s="6">
        <v>42.17</v>
      </c>
      <c r="G746" s="4">
        <v>51.66</v>
      </c>
      <c r="H746" t="s">
        <v>94</v>
      </c>
      <c r="I746" t="s">
        <v>761</v>
      </c>
      <c r="J746" t="s">
        <v>1876</v>
      </c>
    </row>
    <row r="747" spans="1:10" x14ac:dyDescent="0.35">
      <c r="A747" t="s">
        <v>1877</v>
      </c>
      <c r="B747" t="s">
        <v>42</v>
      </c>
      <c r="C747" t="s">
        <v>37</v>
      </c>
      <c r="D747">
        <v>174.54</v>
      </c>
      <c r="E747">
        <v>5</v>
      </c>
      <c r="F747" s="6">
        <v>42.28</v>
      </c>
      <c r="G747" s="4">
        <v>17.45</v>
      </c>
      <c r="H747" t="s">
        <v>155</v>
      </c>
      <c r="I747" t="s">
        <v>1878</v>
      </c>
      <c r="J747" t="s">
        <v>1879</v>
      </c>
    </row>
    <row r="748" spans="1:10" x14ac:dyDescent="0.35">
      <c r="A748" t="s">
        <v>1880</v>
      </c>
      <c r="B748" t="s">
        <v>42</v>
      </c>
      <c r="C748" t="s">
        <v>89</v>
      </c>
      <c r="D748">
        <v>496.11</v>
      </c>
      <c r="E748">
        <v>3</v>
      </c>
      <c r="F748" s="6">
        <v>32.630000000000003</v>
      </c>
      <c r="G748" s="4">
        <v>28.97</v>
      </c>
      <c r="H748" t="s">
        <v>330</v>
      </c>
      <c r="I748" t="s">
        <v>522</v>
      </c>
      <c r="J748" t="s">
        <v>1881</v>
      </c>
    </row>
    <row r="749" spans="1:10" x14ac:dyDescent="0.35">
      <c r="A749" t="s">
        <v>1882</v>
      </c>
      <c r="B749" t="s">
        <v>10</v>
      </c>
      <c r="C749" t="s">
        <v>11</v>
      </c>
      <c r="D749">
        <v>396.76</v>
      </c>
      <c r="E749">
        <v>5</v>
      </c>
      <c r="F749" s="6">
        <v>12.19</v>
      </c>
      <c r="G749" s="4">
        <v>67.349999999999994</v>
      </c>
      <c r="H749" t="s">
        <v>494</v>
      </c>
      <c r="I749" t="s">
        <v>39</v>
      </c>
      <c r="J749" t="s">
        <v>1883</v>
      </c>
    </row>
    <row r="750" spans="1:10" x14ac:dyDescent="0.35">
      <c r="A750" t="s">
        <v>1884</v>
      </c>
      <c r="B750" t="s">
        <v>16</v>
      </c>
      <c r="C750" t="s">
        <v>11</v>
      </c>
      <c r="D750">
        <v>168.89</v>
      </c>
      <c r="E750">
        <v>5</v>
      </c>
      <c r="F750" s="6">
        <v>24.38</v>
      </c>
      <c r="G750" s="4">
        <v>82.57</v>
      </c>
      <c r="H750" t="s">
        <v>175</v>
      </c>
      <c r="I750" t="s">
        <v>113</v>
      </c>
      <c r="J750" t="s">
        <v>1885</v>
      </c>
    </row>
    <row r="751" spans="1:10" x14ac:dyDescent="0.35">
      <c r="A751" t="s">
        <v>1886</v>
      </c>
      <c r="B751" t="s">
        <v>42</v>
      </c>
      <c r="C751" t="s">
        <v>61</v>
      </c>
      <c r="D751">
        <v>175.54</v>
      </c>
      <c r="E751">
        <v>4</v>
      </c>
      <c r="F751" s="6">
        <v>32.549999999999997</v>
      </c>
      <c r="G751" s="4">
        <v>14.74</v>
      </c>
      <c r="H751" t="s">
        <v>714</v>
      </c>
      <c r="I751" t="s">
        <v>480</v>
      </c>
      <c r="J751" t="s">
        <v>1887</v>
      </c>
    </row>
    <row r="752" spans="1:10" x14ac:dyDescent="0.35">
      <c r="A752" t="s">
        <v>1888</v>
      </c>
      <c r="B752" t="s">
        <v>16</v>
      </c>
      <c r="C752" t="s">
        <v>37</v>
      </c>
      <c r="D752">
        <v>199.78</v>
      </c>
      <c r="E752">
        <v>5</v>
      </c>
      <c r="F752" s="6">
        <v>49.26</v>
      </c>
      <c r="G752" s="4">
        <v>45.34</v>
      </c>
      <c r="H752" t="s">
        <v>661</v>
      </c>
      <c r="I752" t="s">
        <v>404</v>
      </c>
      <c r="J752" t="s">
        <v>1889</v>
      </c>
    </row>
    <row r="753" spans="1:10" x14ac:dyDescent="0.35">
      <c r="A753" t="s">
        <v>1890</v>
      </c>
      <c r="B753" t="s">
        <v>16</v>
      </c>
      <c r="C753" t="s">
        <v>27</v>
      </c>
      <c r="D753">
        <v>105.81</v>
      </c>
      <c r="E753">
        <v>3</v>
      </c>
      <c r="F753" s="6">
        <v>23.73</v>
      </c>
      <c r="G753" s="4">
        <v>93.47</v>
      </c>
      <c r="H753" t="s">
        <v>1047</v>
      </c>
      <c r="I753" t="s">
        <v>797</v>
      </c>
      <c r="J753" t="s">
        <v>591</v>
      </c>
    </row>
    <row r="754" spans="1:10" x14ac:dyDescent="0.35">
      <c r="A754" t="s">
        <v>1891</v>
      </c>
      <c r="B754" t="s">
        <v>10</v>
      </c>
      <c r="C754" t="s">
        <v>22</v>
      </c>
      <c r="D754">
        <v>168.24</v>
      </c>
      <c r="E754">
        <v>4</v>
      </c>
      <c r="F754" s="6">
        <v>17.84</v>
      </c>
      <c r="G754" s="4">
        <v>20.7</v>
      </c>
      <c r="H754" t="s">
        <v>917</v>
      </c>
      <c r="I754" t="s">
        <v>621</v>
      </c>
      <c r="J754" t="s">
        <v>1892</v>
      </c>
    </row>
    <row r="755" spans="1:10" x14ac:dyDescent="0.35">
      <c r="A755" t="s">
        <v>1893</v>
      </c>
      <c r="B755" t="s">
        <v>16</v>
      </c>
      <c r="C755" t="s">
        <v>61</v>
      </c>
      <c r="D755">
        <v>441.64</v>
      </c>
      <c r="E755">
        <v>3</v>
      </c>
      <c r="F755" s="6">
        <v>13.67</v>
      </c>
      <c r="G755" s="4">
        <v>22.46</v>
      </c>
      <c r="H755" t="s">
        <v>171</v>
      </c>
      <c r="I755" t="s">
        <v>633</v>
      </c>
      <c r="J755" t="s">
        <v>1894</v>
      </c>
    </row>
    <row r="756" spans="1:10" x14ac:dyDescent="0.35">
      <c r="A756" t="s">
        <v>1895</v>
      </c>
      <c r="B756" t="s">
        <v>10</v>
      </c>
      <c r="C756" t="s">
        <v>37</v>
      </c>
      <c r="D756">
        <v>73.83</v>
      </c>
      <c r="E756">
        <v>4</v>
      </c>
      <c r="F756" s="6">
        <v>44.88</v>
      </c>
      <c r="G756" s="4">
        <v>67.66</v>
      </c>
      <c r="H756" t="s">
        <v>1119</v>
      </c>
      <c r="I756" t="s">
        <v>255</v>
      </c>
      <c r="J756" t="s">
        <v>1896</v>
      </c>
    </row>
    <row r="757" spans="1:10" x14ac:dyDescent="0.35">
      <c r="A757" t="s">
        <v>1897</v>
      </c>
      <c r="B757" t="s">
        <v>42</v>
      </c>
      <c r="C757" t="s">
        <v>61</v>
      </c>
      <c r="D757">
        <v>195.57</v>
      </c>
      <c r="E757">
        <v>4</v>
      </c>
      <c r="F757" s="6">
        <v>8.24</v>
      </c>
      <c r="G757" s="4">
        <v>81.849999999999994</v>
      </c>
      <c r="H757" t="s">
        <v>578</v>
      </c>
      <c r="I757" t="s">
        <v>761</v>
      </c>
      <c r="J757" t="s">
        <v>1898</v>
      </c>
    </row>
    <row r="758" spans="1:10" x14ac:dyDescent="0.35">
      <c r="A758" t="s">
        <v>1899</v>
      </c>
      <c r="B758" t="s">
        <v>42</v>
      </c>
      <c r="C758" t="s">
        <v>37</v>
      </c>
      <c r="D758">
        <v>434.63</v>
      </c>
      <c r="E758">
        <v>5</v>
      </c>
      <c r="F758" s="6">
        <v>12.8</v>
      </c>
      <c r="G758" s="4">
        <v>92.75</v>
      </c>
      <c r="H758" t="s">
        <v>450</v>
      </c>
      <c r="I758" t="s">
        <v>67</v>
      </c>
      <c r="J758" t="s">
        <v>1900</v>
      </c>
    </row>
    <row r="759" spans="1:10" x14ac:dyDescent="0.35">
      <c r="A759" t="s">
        <v>1901</v>
      </c>
      <c r="B759" t="s">
        <v>10</v>
      </c>
      <c r="C759" t="s">
        <v>47</v>
      </c>
      <c r="D759">
        <v>75.52</v>
      </c>
      <c r="E759">
        <v>3</v>
      </c>
      <c r="F759" s="6">
        <v>32.06</v>
      </c>
      <c r="G759" s="4">
        <v>40.14</v>
      </c>
      <c r="H759" t="s">
        <v>221</v>
      </c>
      <c r="I759" t="s">
        <v>1272</v>
      </c>
      <c r="J759" t="s">
        <v>1902</v>
      </c>
    </row>
    <row r="760" spans="1:10" x14ac:dyDescent="0.35">
      <c r="A760" t="s">
        <v>1903</v>
      </c>
      <c r="B760" t="s">
        <v>16</v>
      </c>
      <c r="C760" t="s">
        <v>56</v>
      </c>
      <c r="D760">
        <v>262.12</v>
      </c>
      <c r="E760">
        <v>5</v>
      </c>
      <c r="F760" s="6">
        <v>44.16</v>
      </c>
      <c r="G760" s="4">
        <v>16</v>
      </c>
      <c r="H760" t="s">
        <v>423</v>
      </c>
      <c r="I760" t="s">
        <v>530</v>
      </c>
      <c r="J760" t="s">
        <v>1904</v>
      </c>
    </row>
    <row r="761" spans="1:10" x14ac:dyDescent="0.35">
      <c r="A761" t="s">
        <v>1905</v>
      </c>
      <c r="B761" t="s">
        <v>10</v>
      </c>
      <c r="C761" t="s">
        <v>47</v>
      </c>
      <c r="D761">
        <v>254.98</v>
      </c>
      <c r="E761">
        <v>5</v>
      </c>
      <c r="F761" s="6">
        <v>1</v>
      </c>
      <c r="G761" s="4">
        <v>46.83</v>
      </c>
      <c r="H761" t="s">
        <v>848</v>
      </c>
      <c r="I761" t="s">
        <v>590</v>
      </c>
      <c r="J761" t="s">
        <v>1906</v>
      </c>
    </row>
    <row r="762" spans="1:10" x14ac:dyDescent="0.35">
      <c r="A762" t="s">
        <v>1907</v>
      </c>
      <c r="B762" t="s">
        <v>42</v>
      </c>
      <c r="C762" t="s">
        <v>32</v>
      </c>
      <c r="D762">
        <v>150.86000000000001</v>
      </c>
      <c r="E762">
        <v>4</v>
      </c>
      <c r="F762" s="6">
        <v>13.49</v>
      </c>
      <c r="G762" s="4">
        <v>48.32</v>
      </c>
      <c r="H762" t="s">
        <v>1392</v>
      </c>
      <c r="I762" t="s">
        <v>988</v>
      </c>
      <c r="J762" t="s">
        <v>1908</v>
      </c>
    </row>
    <row r="763" spans="1:10" x14ac:dyDescent="0.35">
      <c r="A763" t="s">
        <v>1909</v>
      </c>
      <c r="B763" t="s">
        <v>10</v>
      </c>
      <c r="C763" t="s">
        <v>11</v>
      </c>
      <c r="D763">
        <v>337.72</v>
      </c>
      <c r="E763">
        <v>3</v>
      </c>
      <c r="F763" s="6">
        <v>1.22</v>
      </c>
      <c r="G763" s="4">
        <v>98.11</v>
      </c>
      <c r="H763" t="s">
        <v>308</v>
      </c>
      <c r="I763" t="s">
        <v>129</v>
      </c>
      <c r="J763" t="s">
        <v>1169</v>
      </c>
    </row>
    <row r="764" spans="1:10" x14ac:dyDescent="0.35">
      <c r="A764" t="s">
        <v>1910</v>
      </c>
      <c r="B764" t="s">
        <v>10</v>
      </c>
      <c r="C764" t="s">
        <v>17</v>
      </c>
      <c r="D764">
        <v>180.6</v>
      </c>
      <c r="E764">
        <v>5</v>
      </c>
      <c r="F764" s="6">
        <v>32.18</v>
      </c>
      <c r="G764" s="4">
        <v>54.28</v>
      </c>
      <c r="H764" t="s">
        <v>348</v>
      </c>
      <c r="I764" t="s">
        <v>426</v>
      </c>
      <c r="J764" t="s">
        <v>1911</v>
      </c>
    </row>
    <row r="765" spans="1:10" x14ac:dyDescent="0.35">
      <c r="A765" t="s">
        <v>1912</v>
      </c>
      <c r="B765" t="s">
        <v>16</v>
      </c>
      <c r="C765" t="s">
        <v>89</v>
      </c>
      <c r="D765">
        <v>282.58999999999997</v>
      </c>
      <c r="E765">
        <v>4</v>
      </c>
      <c r="F765" s="6">
        <v>22.61</v>
      </c>
      <c r="G765" s="4">
        <v>90.28</v>
      </c>
      <c r="H765" t="s">
        <v>809</v>
      </c>
      <c r="I765" t="s">
        <v>52</v>
      </c>
      <c r="J765" t="s">
        <v>1913</v>
      </c>
    </row>
    <row r="766" spans="1:10" x14ac:dyDescent="0.35">
      <c r="A766" t="s">
        <v>1914</v>
      </c>
      <c r="B766" t="s">
        <v>42</v>
      </c>
      <c r="C766" t="s">
        <v>32</v>
      </c>
      <c r="D766">
        <v>262.39999999999998</v>
      </c>
      <c r="E766">
        <v>3</v>
      </c>
      <c r="F766" s="6">
        <v>11.15</v>
      </c>
      <c r="G766" s="4">
        <v>56.51</v>
      </c>
      <c r="H766" t="s">
        <v>135</v>
      </c>
      <c r="I766" t="s">
        <v>586</v>
      </c>
      <c r="J766" t="s">
        <v>1915</v>
      </c>
    </row>
    <row r="767" spans="1:10" x14ac:dyDescent="0.35">
      <c r="A767" t="s">
        <v>1916</v>
      </c>
      <c r="B767" t="s">
        <v>42</v>
      </c>
      <c r="C767" t="s">
        <v>17</v>
      </c>
      <c r="D767">
        <v>128.69999999999999</v>
      </c>
      <c r="E767">
        <v>3</v>
      </c>
      <c r="F767" s="6">
        <v>3.54</v>
      </c>
      <c r="G767" s="4">
        <v>74.38</v>
      </c>
      <c r="H767" t="s">
        <v>129</v>
      </c>
      <c r="I767" t="s">
        <v>338</v>
      </c>
      <c r="J767" t="s">
        <v>1917</v>
      </c>
    </row>
    <row r="768" spans="1:10" x14ac:dyDescent="0.35">
      <c r="A768" t="s">
        <v>1918</v>
      </c>
      <c r="B768" t="s">
        <v>16</v>
      </c>
      <c r="C768" t="s">
        <v>61</v>
      </c>
      <c r="D768">
        <v>397.01</v>
      </c>
      <c r="E768">
        <v>4</v>
      </c>
      <c r="F768" s="6">
        <v>5.45</v>
      </c>
      <c r="G768" s="4">
        <v>27.06</v>
      </c>
      <c r="H768" t="s">
        <v>1485</v>
      </c>
      <c r="I768" t="s">
        <v>377</v>
      </c>
      <c r="J768" t="s">
        <v>1919</v>
      </c>
    </row>
    <row r="769" spans="1:10" x14ac:dyDescent="0.35">
      <c r="A769" t="s">
        <v>1920</v>
      </c>
      <c r="B769" t="s">
        <v>42</v>
      </c>
      <c r="C769" t="s">
        <v>61</v>
      </c>
      <c r="D769">
        <v>367.14</v>
      </c>
      <c r="E769">
        <v>4</v>
      </c>
      <c r="F769" s="6">
        <v>49.17</v>
      </c>
      <c r="G769" s="4">
        <v>32.1</v>
      </c>
      <c r="H769" t="s">
        <v>333</v>
      </c>
      <c r="I769" t="s">
        <v>78</v>
      </c>
      <c r="J769" t="s">
        <v>1921</v>
      </c>
    </row>
    <row r="770" spans="1:10" x14ac:dyDescent="0.35">
      <c r="A770" t="s">
        <v>1922</v>
      </c>
      <c r="B770" t="s">
        <v>16</v>
      </c>
      <c r="C770" t="s">
        <v>27</v>
      </c>
      <c r="D770">
        <v>396.46</v>
      </c>
      <c r="E770">
        <v>4</v>
      </c>
      <c r="F770" s="6">
        <v>44.33</v>
      </c>
      <c r="G770" s="4">
        <v>51.07</v>
      </c>
      <c r="H770" t="s">
        <v>928</v>
      </c>
      <c r="I770" t="s">
        <v>132</v>
      </c>
      <c r="J770" t="s">
        <v>1923</v>
      </c>
    </row>
    <row r="771" spans="1:10" x14ac:dyDescent="0.35">
      <c r="A771" t="s">
        <v>1924</v>
      </c>
      <c r="B771" t="s">
        <v>10</v>
      </c>
      <c r="C771" t="s">
        <v>47</v>
      </c>
      <c r="D771">
        <v>163.01</v>
      </c>
      <c r="E771">
        <v>3</v>
      </c>
      <c r="F771" s="6">
        <v>50</v>
      </c>
      <c r="G771" s="4">
        <v>62.65</v>
      </c>
      <c r="H771" t="s">
        <v>1670</v>
      </c>
      <c r="I771" t="s">
        <v>263</v>
      </c>
      <c r="J771" t="s">
        <v>1925</v>
      </c>
    </row>
    <row r="772" spans="1:10" x14ac:dyDescent="0.35">
      <c r="A772" t="s">
        <v>1926</v>
      </c>
      <c r="B772" t="s">
        <v>42</v>
      </c>
      <c r="C772" t="s">
        <v>22</v>
      </c>
      <c r="D772">
        <v>187.72</v>
      </c>
      <c r="E772">
        <v>4</v>
      </c>
      <c r="F772" s="6">
        <v>45.59</v>
      </c>
      <c r="G772" s="4">
        <v>38.03</v>
      </c>
      <c r="H772" t="s">
        <v>1272</v>
      </c>
      <c r="I772" t="s">
        <v>49</v>
      </c>
      <c r="J772" t="s">
        <v>1927</v>
      </c>
    </row>
    <row r="773" spans="1:10" x14ac:dyDescent="0.35">
      <c r="A773" t="s">
        <v>1928</v>
      </c>
      <c r="B773" t="s">
        <v>42</v>
      </c>
      <c r="C773" t="s">
        <v>32</v>
      </c>
      <c r="D773">
        <v>286.56</v>
      </c>
      <c r="E773">
        <v>4</v>
      </c>
      <c r="F773" s="6">
        <v>11.37</v>
      </c>
      <c r="G773" s="4">
        <v>96.15</v>
      </c>
      <c r="H773" t="s">
        <v>780</v>
      </c>
      <c r="I773" t="s">
        <v>1234</v>
      </c>
      <c r="J773" t="s">
        <v>1929</v>
      </c>
    </row>
    <row r="774" spans="1:10" x14ac:dyDescent="0.35">
      <c r="A774" t="s">
        <v>1930</v>
      </c>
      <c r="B774" t="s">
        <v>16</v>
      </c>
      <c r="C774" t="s">
        <v>56</v>
      </c>
      <c r="D774">
        <v>92.13</v>
      </c>
      <c r="E774">
        <v>5</v>
      </c>
      <c r="F774" s="6">
        <v>10.47</v>
      </c>
      <c r="G774" s="4">
        <v>51.8</v>
      </c>
      <c r="H774" t="s">
        <v>804</v>
      </c>
      <c r="I774" t="s">
        <v>507</v>
      </c>
      <c r="J774" t="s">
        <v>1931</v>
      </c>
    </row>
    <row r="775" spans="1:10" x14ac:dyDescent="0.35">
      <c r="A775" t="s">
        <v>1932</v>
      </c>
      <c r="B775" t="s">
        <v>16</v>
      </c>
      <c r="C775" t="s">
        <v>37</v>
      </c>
      <c r="D775">
        <v>79.3</v>
      </c>
      <c r="E775">
        <v>4</v>
      </c>
      <c r="F775" s="6">
        <v>0.09</v>
      </c>
      <c r="G775" s="4">
        <v>89.99</v>
      </c>
      <c r="H775" t="s">
        <v>1878</v>
      </c>
      <c r="I775" t="s">
        <v>607</v>
      </c>
      <c r="J775" t="s">
        <v>1933</v>
      </c>
    </row>
    <row r="776" spans="1:10" x14ac:dyDescent="0.35">
      <c r="A776" t="s">
        <v>1934</v>
      </c>
      <c r="B776" t="s">
        <v>10</v>
      </c>
      <c r="C776" t="s">
        <v>22</v>
      </c>
      <c r="D776">
        <v>110.8</v>
      </c>
      <c r="E776">
        <v>3</v>
      </c>
      <c r="F776" s="6">
        <v>18.829999999999998</v>
      </c>
      <c r="G776" s="4">
        <v>66.239999999999995</v>
      </c>
      <c r="H776" t="s">
        <v>57</v>
      </c>
      <c r="I776" t="s">
        <v>988</v>
      </c>
      <c r="J776" t="s">
        <v>1935</v>
      </c>
    </row>
    <row r="777" spans="1:10" x14ac:dyDescent="0.35">
      <c r="A777" t="s">
        <v>1936</v>
      </c>
      <c r="B777" t="s">
        <v>42</v>
      </c>
      <c r="C777" t="s">
        <v>11</v>
      </c>
      <c r="D777">
        <v>393.78</v>
      </c>
      <c r="E777">
        <v>4</v>
      </c>
      <c r="F777" s="6">
        <v>23.92</v>
      </c>
      <c r="G777" s="4">
        <v>94.85</v>
      </c>
      <c r="H777" t="s">
        <v>391</v>
      </c>
      <c r="I777" t="s">
        <v>260</v>
      </c>
      <c r="J777" t="s">
        <v>1937</v>
      </c>
    </row>
    <row r="778" spans="1:10" x14ac:dyDescent="0.35">
      <c r="A778" t="s">
        <v>1938</v>
      </c>
      <c r="B778" t="s">
        <v>42</v>
      </c>
      <c r="C778" t="s">
        <v>56</v>
      </c>
      <c r="D778">
        <v>107.52</v>
      </c>
      <c r="E778">
        <v>5</v>
      </c>
      <c r="F778" s="6">
        <v>43.97</v>
      </c>
      <c r="G778" s="4">
        <v>71.95</v>
      </c>
      <c r="H778" t="s">
        <v>323</v>
      </c>
      <c r="I778" t="s">
        <v>308</v>
      </c>
      <c r="J778" t="s">
        <v>1939</v>
      </c>
    </row>
    <row r="779" spans="1:10" x14ac:dyDescent="0.35">
      <c r="A779" t="s">
        <v>1940</v>
      </c>
      <c r="B779" t="s">
        <v>16</v>
      </c>
      <c r="C779" t="s">
        <v>37</v>
      </c>
      <c r="D779">
        <v>287.64999999999998</v>
      </c>
      <c r="E779">
        <v>5</v>
      </c>
      <c r="F779" s="6">
        <v>46.55</v>
      </c>
      <c r="G779" s="4">
        <v>40.619999999999997</v>
      </c>
      <c r="H779" t="s">
        <v>168</v>
      </c>
      <c r="I779" t="s">
        <v>991</v>
      </c>
      <c r="J779" t="s">
        <v>1941</v>
      </c>
    </row>
    <row r="780" spans="1:10" x14ac:dyDescent="0.35">
      <c r="A780" t="s">
        <v>1942</v>
      </c>
      <c r="B780" t="s">
        <v>16</v>
      </c>
      <c r="C780" t="s">
        <v>47</v>
      </c>
      <c r="D780">
        <v>330.61</v>
      </c>
      <c r="E780">
        <v>3</v>
      </c>
      <c r="F780" s="6">
        <v>27.06</v>
      </c>
      <c r="G780" s="4">
        <v>88.47</v>
      </c>
      <c r="H780" t="s">
        <v>151</v>
      </c>
      <c r="I780" t="s">
        <v>493</v>
      </c>
      <c r="J780" t="s">
        <v>1943</v>
      </c>
    </row>
    <row r="781" spans="1:10" x14ac:dyDescent="0.35">
      <c r="A781" t="s">
        <v>1944</v>
      </c>
      <c r="B781" t="s">
        <v>10</v>
      </c>
      <c r="C781" t="s">
        <v>27</v>
      </c>
      <c r="D781">
        <v>488.5</v>
      </c>
      <c r="E781">
        <v>5</v>
      </c>
      <c r="F781" s="6">
        <v>3.49</v>
      </c>
      <c r="G781" s="4">
        <v>51.6</v>
      </c>
      <c r="H781" t="s">
        <v>273</v>
      </c>
      <c r="I781" t="s">
        <v>883</v>
      </c>
      <c r="J781" t="s">
        <v>1945</v>
      </c>
    </row>
    <row r="782" spans="1:10" x14ac:dyDescent="0.35">
      <c r="A782" t="s">
        <v>1946</v>
      </c>
      <c r="B782" t="s">
        <v>42</v>
      </c>
      <c r="C782" t="s">
        <v>61</v>
      </c>
      <c r="D782">
        <v>268.39999999999998</v>
      </c>
      <c r="E782">
        <v>5</v>
      </c>
      <c r="F782" s="6">
        <v>38.08</v>
      </c>
      <c r="G782" s="4">
        <v>19.64</v>
      </c>
      <c r="H782" t="s">
        <v>575</v>
      </c>
      <c r="I782" t="s">
        <v>686</v>
      </c>
      <c r="J782" t="s">
        <v>1947</v>
      </c>
    </row>
    <row r="783" spans="1:10" x14ac:dyDescent="0.35">
      <c r="A783" t="s">
        <v>1948</v>
      </c>
      <c r="B783" t="s">
        <v>10</v>
      </c>
      <c r="C783" t="s">
        <v>61</v>
      </c>
      <c r="D783">
        <v>79.97</v>
      </c>
      <c r="E783">
        <v>3</v>
      </c>
      <c r="F783" s="6">
        <v>18.16</v>
      </c>
      <c r="G783" s="4">
        <v>25.48</v>
      </c>
      <c r="H783" t="s">
        <v>225</v>
      </c>
      <c r="I783" t="s">
        <v>978</v>
      </c>
      <c r="J783" t="s">
        <v>769</v>
      </c>
    </row>
    <row r="784" spans="1:10" x14ac:dyDescent="0.35">
      <c r="A784" t="s">
        <v>1949</v>
      </c>
      <c r="B784" t="s">
        <v>42</v>
      </c>
      <c r="C784" t="s">
        <v>56</v>
      </c>
      <c r="D784">
        <v>138.27000000000001</v>
      </c>
      <c r="E784">
        <v>4</v>
      </c>
      <c r="F784" s="6">
        <v>9.16</v>
      </c>
      <c r="G784" s="4">
        <v>75.09</v>
      </c>
      <c r="H784" t="s">
        <v>497</v>
      </c>
      <c r="I784" t="s">
        <v>978</v>
      </c>
      <c r="J784" t="s">
        <v>1950</v>
      </c>
    </row>
    <row r="785" spans="1:10" x14ac:dyDescent="0.35">
      <c r="A785" t="s">
        <v>1951</v>
      </c>
      <c r="B785" t="s">
        <v>10</v>
      </c>
      <c r="C785" t="s">
        <v>56</v>
      </c>
      <c r="D785">
        <v>334.04</v>
      </c>
      <c r="E785">
        <v>5</v>
      </c>
      <c r="F785" s="6">
        <v>15.19</v>
      </c>
      <c r="G785" s="4">
        <v>23.01</v>
      </c>
      <c r="H785" t="s">
        <v>1670</v>
      </c>
      <c r="I785" t="s">
        <v>925</v>
      </c>
      <c r="J785" t="s">
        <v>1952</v>
      </c>
    </row>
    <row r="786" spans="1:10" x14ac:dyDescent="0.35">
      <c r="A786" t="s">
        <v>1953</v>
      </c>
      <c r="B786" t="s">
        <v>42</v>
      </c>
      <c r="C786" t="s">
        <v>47</v>
      </c>
      <c r="D786">
        <v>316.27</v>
      </c>
      <c r="E786">
        <v>4</v>
      </c>
      <c r="F786" s="6">
        <v>19.41</v>
      </c>
      <c r="G786" s="4">
        <v>40.15</v>
      </c>
      <c r="H786" t="s">
        <v>90</v>
      </c>
      <c r="I786" t="s">
        <v>736</v>
      </c>
      <c r="J786" t="s">
        <v>1954</v>
      </c>
    </row>
    <row r="787" spans="1:10" x14ac:dyDescent="0.35">
      <c r="A787" t="s">
        <v>1955</v>
      </c>
      <c r="B787" t="s">
        <v>10</v>
      </c>
      <c r="C787" t="s">
        <v>11</v>
      </c>
      <c r="D787">
        <v>350.06</v>
      </c>
      <c r="E787">
        <v>4</v>
      </c>
      <c r="F787" s="6">
        <v>26.24</v>
      </c>
      <c r="G787" s="4">
        <v>30.51</v>
      </c>
      <c r="H787" t="s">
        <v>426</v>
      </c>
      <c r="I787" t="s">
        <v>377</v>
      </c>
      <c r="J787" t="s">
        <v>1956</v>
      </c>
    </row>
    <row r="788" spans="1:10" x14ac:dyDescent="0.35">
      <c r="A788" t="s">
        <v>1957</v>
      </c>
      <c r="B788" t="s">
        <v>16</v>
      </c>
      <c r="C788" t="s">
        <v>47</v>
      </c>
      <c r="D788">
        <v>233.3</v>
      </c>
      <c r="E788">
        <v>4</v>
      </c>
      <c r="F788" s="6">
        <v>23.15</v>
      </c>
      <c r="G788" s="4">
        <v>93.61</v>
      </c>
      <c r="H788" t="s">
        <v>477</v>
      </c>
      <c r="I788" t="s">
        <v>624</v>
      </c>
      <c r="J788" t="s">
        <v>1958</v>
      </c>
    </row>
    <row r="789" spans="1:10" x14ac:dyDescent="0.35">
      <c r="A789" t="s">
        <v>1959</v>
      </c>
      <c r="B789" t="s">
        <v>42</v>
      </c>
      <c r="C789" t="s">
        <v>61</v>
      </c>
      <c r="D789">
        <v>408.12</v>
      </c>
      <c r="E789">
        <v>3</v>
      </c>
      <c r="F789" s="6">
        <v>38.130000000000003</v>
      </c>
      <c r="G789" s="4">
        <v>59.79</v>
      </c>
      <c r="H789" t="s">
        <v>136</v>
      </c>
      <c r="I789" t="s">
        <v>67</v>
      </c>
      <c r="J789" t="s">
        <v>1960</v>
      </c>
    </row>
    <row r="790" spans="1:10" x14ac:dyDescent="0.35">
      <c r="A790" t="s">
        <v>1961</v>
      </c>
      <c r="B790" t="s">
        <v>10</v>
      </c>
      <c r="C790" t="s">
        <v>61</v>
      </c>
      <c r="D790">
        <v>182.44</v>
      </c>
      <c r="E790">
        <v>4</v>
      </c>
      <c r="F790" s="6">
        <v>11.93</v>
      </c>
      <c r="G790" s="4">
        <v>94.54</v>
      </c>
      <c r="H790" t="s">
        <v>453</v>
      </c>
      <c r="I790" t="s">
        <v>724</v>
      </c>
      <c r="J790" t="s">
        <v>1962</v>
      </c>
    </row>
    <row r="791" spans="1:10" x14ac:dyDescent="0.35">
      <c r="A791" t="s">
        <v>1963</v>
      </c>
      <c r="B791" t="s">
        <v>42</v>
      </c>
      <c r="C791" t="s">
        <v>47</v>
      </c>
      <c r="D791">
        <v>248.88</v>
      </c>
      <c r="E791">
        <v>5</v>
      </c>
      <c r="F791" s="6">
        <v>48.6</v>
      </c>
      <c r="G791" s="4">
        <v>25.34</v>
      </c>
      <c r="H791" t="s">
        <v>396</v>
      </c>
      <c r="I791" t="s">
        <v>333</v>
      </c>
      <c r="J791" t="s">
        <v>1964</v>
      </c>
    </row>
    <row r="792" spans="1:10" x14ac:dyDescent="0.35">
      <c r="A792" t="s">
        <v>1965</v>
      </c>
      <c r="B792" t="s">
        <v>10</v>
      </c>
      <c r="C792" t="s">
        <v>22</v>
      </c>
      <c r="D792">
        <v>350.42</v>
      </c>
      <c r="E792">
        <v>4</v>
      </c>
      <c r="F792" s="6">
        <v>0.95</v>
      </c>
      <c r="G792" s="4">
        <v>92.57</v>
      </c>
      <c r="H792" t="s">
        <v>466</v>
      </c>
      <c r="I792" t="s">
        <v>172</v>
      </c>
      <c r="J792" t="s">
        <v>1966</v>
      </c>
    </row>
    <row r="793" spans="1:10" x14ac:dyDescent="0.35">
      <c r="A793" t="s">
        <v>1967</v>
      </c>
      <c r="B793" t="s">
        <v>10</v>
      </c>
      <c r="C793" t="s">
        <v>89</v>
      </c>
      <c r="D793">
        <v>453.32</v>
      </c>
      <c r="E793">
        <v>3</v>
      </c>
      <c r="F793" s="6">
        <v>15.67</v>
      </c>
      <c r="G793" s="4">
        <v>94.4</v>
      </c>
      <c r="H793" t="s">
        <v>186</v>
      </c>
      <c r="I793" t="s">
        <v>843</v>
      </c>
      <c r="J793" t="s">
        <v>1968</v>
      </c>
    </row>
    <row r="794" spans="1:10" x14ac:dyDescent="0.35">
      <c r="A794" t="s">
        <v>1969</v>
      </c>
      <c r="B794" t="s">
        <v>42</v>
      </c>
      <c r="C794" t="s">
        <v>47</v>
      </c>
      <c r="D794">
        <v>232.88</v>
      </c>
      <c r="E794">
        <v>5</v>
      </c>
      <c r="F794" s="6">
        <v>49.13</v>
      </c>
      <c r="G794" s="4">
        <v>95.15</v>
      </c>
      <c r="H794" t="s">
        <v>693</v>
      </c>
      <c r="I794" t="s">
        <v>917</v>
      </c>
      <c r="J794" t="s">
        <v>1970</v>
      </c>
    </row>
    <row r="795" spans="1:10" x14ac:dyDescent="0.35">
      <c r="A795" t="s">
        <v>1971</v>
      </c>
      <c r="B795" t="s">
        <v>42</v>
      </c>
      <c r="C795" t="s">
        <v>27</v>
      </c>
      <c r="D795">
        <v>241.59</v>
      </c>
      <c r="E795">
        <v>4</v>
      </c>
      <c r="F795" s="6">
        <v>39.159999999999997</v>
      </c>
      <c r="G795" s="4">
        <v>87.07</v>
      </c>
      <c r="H795" t="s">
        <v>507</v>
      </c>
      <c r="I795" t="s">
        <v>333</v>
      </c>
      <c r="J795" t="s">
        <v>1972</v>
      </c>
    </row>
    <row r="796" spans="1:10" x14ac:dyDescent="0.35">
      <c r="A796" t="s">
        <v>1973</v>
      </c>
      <c r="B796" t="s">
        <v>10</v>
      </c>
      <c r="C796" t="s">
        <v>27</v>
      </c>
      <c r="D796">
        <v>89.53</v>
      </c>
      <c r="E796">
        <v>3</v>
      </c>
      <c r="F796" s="6">
        <v>42.79</v>
      </c>
      <c r="G796" s="4">
        <v>65.92</v>
      </c>
      <c r="H796" t="s">
        <v>266</v>
      </c>
      <c r="I796" t="s">
        <v>600</v>
      </c>
      <c r="J796" t="s">
        <v>1974</v>
      </c>
    </row>
    <row r="797" spans="1:10" x14ac:dyDescent="0.35">
      <c r="A797" t="s">
        <v>1975</v>
      </c>
      <c r="B797" t="s">
        <v>10</v>
      </c>
      <c r="C797" t="s">
        <v>47</v>
      </c>
      <c r="D797">
        <v>370.2</v>
      </c>
      <c r="E797">
        <v>5</v>
      </c>
      <c r="F797" s="6">
        <v>20.440000000000001</v>
      </c>
      <c r="G797" s="4">
        <v>46.94</v>
      </c>
      <c r="H797" t="s">
        <v>1304</v>
      </c>
      <c r="I797" t="s">
        <v>1219</v>
      </c>
      <c r="J797" t="s">
        <v>1976</v>
      </c>
    </row>
    <row r="798" spans="1:10" x14ac:dyDescent="0.35">
      <c r="A798" t="s">
        <v>1977</v>
      </c>
      <c r="B798" t="s">
        <v>16</v>
      </c>
      <c r="C798" t="s">
        <v>27</v>
      </c>
      <c r="D798">
        <v>179.53</v>
      </c>
      <c r="E798">
        <v>4</v>
      </c>
      <c r="F798" s="6">
        <v>32.75</v>
      </c>
      <c r="G798" s="4">
        <v>16.23</v>
      </c>
      <c r="H798" t="s">
        <v>71</v>
      </c>
      <c r="I798" t="s">
        <v>391</v>
      </c>
      <c r="J798" t="s">
        <v>1978</v>
      </c>
    </row>
    <row r="799" spans="1:10" x14ac:dyDescent="0.35">
      <c r="A799" t="s">
        <v>1979</v>
      </c>
      <c r="B799" t="s">
        <v>10</v>
      </c>
      <c r="C799" t="s">
        <v>89</v>
      </c>
      <c r="D799">
        <v>376.83</v>
      </c>
      <c r="E799">
        <v>3</v>
      </c>
      <c r="F799" s="6">
        <v>43.83</v>
      </c>
      <c r="G799" s="4">
        <v>33.590000000000003</v>
      </c>
      <c r="H799" t="s">
        <v>787</v>
      </c>
      <c r="I799" t="s">
        <v>318</v>
      </c>
      <c r="J799" t="s">
        <v>1980</v>
      </c>
    </row>
    <row r="800" spans="1:10" x14ac:dyDescent="0.35">
      <c r="A800" t="s">
        <v>1981</v>
      </c>
      <c r="B800" t="s">
        <v>16</v>
      </c>
      <c r="C800" t="s">
        <v>89</v>
      </c>
      <c r="D800">
        <v>423.42</v>
      </c>
      <c r="E800">
        <v>3</v>
      </c>
      <c r="F800" s="6">
        <v>37.81</v>
      </c>
      <c r="G800" s="4">
        <v>86.48</v>
      </c>
      <c r="H800" t="s">
        <v>948</v>
      </c>
      <c r="I800" t="s">
        <v>1267</v>
      </c>
      <c r="J800" t="s">
        <v>1982</v>
      </c>
    </row>
    <row r="801" spans="1:10" x14ac:dyDescent="0.35">
      <c r="A801" t="s">
        <v>1983</v>
      </c>
      <c r="B801" t="s">
        <v>42</v>
      </c>
      <c r="C801" t="s">
        <v>11</v>
      </c>
      <c r="D801">
        <v>493.18</v>
      </c>
      <c r="E801">
        <v>5</v>
      </c>
      <c r="F801" s="6">
        <v>10.65</v>
      </c>
      <c r="G801" s="4">
        <v>74.260000000000005</v>
      </c>
      <c r="H801" t="s">
        <v>526</v>
      </c>
      <c r="I801" t="s">
        <v>477</v>
      </c>
      <c r="J801" t="s">
        <v>1984</v>
      </c>
    </row>
    <row r="802" spans="1:10" x14ac:dyDescent="0.35">
      <c r="A802" t="s">
        <v>1985</v>
      </c>
      <c r="B802" t="s">
        <v>42</v>
      </c>
      <c r="C802" t="s">
        <v>32</v>
      </c>
      <c r="D802">
        <v>471.44</v>
      </c>
      <c r="E802">
        <v>4</v>
      </c>
      <c r="F802" s="6">
        <v>29.44</v>
      </c>
      <c r="G802" s="4">
        <v>81.06</v>
      </c>
      <c r="H802" t="s">
        <v>364</v>
      </c>
      <c r="I802" t="s">
        <v>834</v>
      </c>
      <c r="J802" t="s">
        <v>1986</v>
      </c>
    </row>
    <row r="803" spans="1:10" x14ac:dyDescent="0.35">
      <c r="A803" t="s">
        <v>1987</v>
      </c>
      <c r="B803" t="s">
        <v>16</v>
      </c>
      <c r="C803" t="s">
        <v>11</v>
      </c>
      <c r="D803">
        <v>133.38999999999999</v>
      </c>
      <c r="E803">
        <v>3</v>
      </c>
      <c r="F803" s="6">
        <v>26.74</v>
      </c>
      <c r="G803" s="4">
        <v>57.11</v>
      </c>
      <c r="H803" t="s">
        <v>295</v>
      </c>
      <c r="I803" t="s">
        <v>75</v>
      </c>
      <c r="J803" t="s">
        <v>1988</v>
      </c>
    </row>
    <row r="804" spans="1:10" x14ac:dyDescent="0.35">
      <c r="A804" t="s">
        <v>1989</v>
      </c>
      <c r="B804" t="s">
        <v>16</v>
      </c>
      <c r="C804" t="s">
        <v>32</v>
      </c>
      <c r="D804">
        <v>146.07</v>
      </c>
      <c r="E804">
        <v>3</v>
      </c>
      <c r="F804" s="6">
        <v>48.57</v>
      </c>
      <c r="G804" s="4">
        <v>64.819999999999993</v>
      </c>
      <c r="H804" t="s">
        <v>413</v>
      </c>
      <c r="I804" t="s">
        <v>848</v>
      </c>
      <c r="J804" t="s">
        <v>1990</v>
      </c>
    </row>
    <row r="805" spans="1:10" x14ac:dyDescent="0.35">
      <c r="A805" t="s">
        <v>1991</v>
      </c>
      <c r="B805" t="s">
        <v>10</v>
      </c>
      <c r="C805" t="s">
        <v>17</v>
      </c>
      <c r="D805">
        <v>79.569999999999993</v>
      </c>
      <c r="E805">
        <v>4</v>
      </c>
      <c r="F805" s="6">
        <v>13.1</v>
      </c>
      <c r="G805" s="4">
        <v>61.03</v>
      </c>
      <c r="H805" t="s">
        <v>1037</v>
      </c>
      <c r="I805" t="s">
        <v>154</v>
      </c>
      <c r="J805" t="s">
        <v>1992</v>
      </c>
    </row>
    <row r="806" spans="1:10" x14ac:dyDescent="0.35">
      <c r="A806" t="s">
        <v>1993</v>
      </c>
      <c r="B806" t="s">
        <v>10</v>
      </c>
      <c r="C806" t="s">
        <v>89</v>
      </c>
      <c r="D806">
        <v>382.99</v>
      </c>
      <c r="E806">
        <v>5</v>
      </c>
      <c r="F806" s="6">
        <v>33.4</v>
      </c>
      <c r="G806" s="4">
        <v>66.319999999999993</v>
      </c>
      <c r="H806" t="s">
        <v>1234</v>
      </c>
      <c r="I806" t="s">
        <v>490</v>
      </c>
      <c r="J806" t="s">
        <v>1994</v>
      </c>
    </row>
    <row r="807" spans="1:10" x14ac:dyDescent="0.35">
      <c r="A807" t="s">
        <v>1995</v>
      </c>
      <c r="B807" t="s">
        <v>42</v>
      </c>
      <c r="C807" t="s">
        <v>17</v>
      </c>
      <c r="D807">
        <v>377.29</v>
      </c>
      <c r="E807">
        <v>5</v>
      </c>
      <c r="F807" s="6">
        <v>8.9499999999999993</v>
      </c>
      <c r="G807" s="4">
        <v>93.71</v>
      </c>
      <c r="H807" t="s">
        <v>18</v>
      </c>
      <c r="I807" t="s">
        <v>593</v>
      </c>
      <c r="J807" t="s">
        <v>1996</v>
      </c>
    </row>
    <row r="808" spans="1:10" x14ac:dyDescent="0.35">
      <c r="A808" t="s">
        <v>1997</v>
      </c>
      <c r="B808" t="s">
        <v>42</v>
      </c>
      <c r="C808" t="s">
        <v>89</v>
      </c>
      <c r="D808">
        <v>271.93</v>
      </c>
      <c r="E808">
        <v>5</v>
      </c>
      <c r="F808" s="6">
        <v>21.75</v>
      </c>
      <c r="G808" s="4">
        <v>31.67</v>
      </c>
      <c r="H808" t="s">
        <v>1998</v>
      </c>
      <c r="I808" t="s">
        <v>95</v>
      </c>
      <c r="J808" t="s">
        <v>1999</v>
      </c>
    </row>
    <row r="809" spans="1:10" x14ac:dyDescent="0.35">
      <c r="A809" t="s">
        <v>2000</v>
      </c>
      <c r="B809" t="s">
        <v>10</v>
      </c>
      <c r="C809" t="s">
        <v>61</v>
      </c>
      <c r="D809">
        <v>79.95</v>
      </c>
      <c r="E809">
        <v>3</v>
      </c>
      <c r="F809" s="6">
        <v>45.84</v>
      </c>
      <c r="G809" s="4">
        <v>83.58</v>
      </c>
      <c r="H809" t="s">
        <v>493</v>
      </c>
      <c r="I809" t="s">
        <v>1266</v>
      </c>
      <c r="J809" t="s">
        <v>2001</v>
      </c>
    </row>
    <row r="810" spans="1:10" x14ac:dyDescent="0.35">
      <c r="A810" t="s">
        <v>2002</v>
      </c>
      <c r="B810" t="s">
        <v>16</v>
      </c>
      <c r="C810" t="s">
        <v>17</v>
      </c>
      <c r="D810">
        <v>198.08</v>
      </c>
      <c r="E810">
        <v>4</v>
      </c>
      <c r="F810" s="6">
        <v>20.329999999999998</v>
      </c>
      <c r="G810" s="4">
        <v>97.59</v>
      </c>
      <c r="H810" t="s">
        <v>304</v>
      </c>
      <c r="I810" t="s">
        <v>540</v>
      </c>
      <c r="J810" t="s">
        <v>2003</v>
      </c>
    </row>
    <row r="811" spans="1:10" x14ac:dyDescent="0.35">
      <c r="A811" t="s">
        <v>2004</v>
      </c>
      <c r="B811" t="s">
        <v>42</v>
      </c>
      <c r="C811" t="s">
        <v>22</v>
      </c>
      <c r="D811">
        <v>478.81</v>
      </c>
      <c r="E811">
        <v>5</v>
      </c>
      <c r="F811" s="6">
        <v>34.15</v>
      </c>
      <c r="G811" s="4">
        <v>87.14</v>
      </c>
      <c r="H811" t="s">
        <v>918</v>
      </c>
      <c r="I811" t="s">
        <v>1485</v>
      </c>
      <c r="J811" t="s">
        <v>2005</v>
      </c>
    </row>
    <row r="812" spans="1:10" x14ac:dyDescent="0.35">
      <c r="A812" t="s">
        <v>2006</v>
      </c>
      <c r="B812" t="s">
        <v>10</v>
      </c>
      <c r="C812" t="s">
        <v>27</v>
      </c>
      <c r="D812">
        <v>242.02</v>
      </c>
      <c r="E812">
        <v>5</v>
      </c>
      <c r="F812" s="6">
        <v>45.71</v>
      </c>
      <c r="G812" s="4">
        <v>38.36</v>
      </c>
      <c r="H812" t="s">
        <v>2007</v>
      </c>
      <c r="I812" t="s">
        <v>1790</v>
      </c>
      <c r="J812" t="s">
        <v>2008</v>
      </c>
    </row>
    <row r="813" spans="1:10" x14ac:dyDescent="0.35">
      <c r="A813" t="s">
        <v>2009</v>
      </c>
      <c r="B813" t="s">
        <v>42</v>
      </c>
      <c r="C813" t="s">
        <v>37</v>
      </c>
      <c r="D813">
        <v>450.14</v>
      </c>
      <c r="E813">
        <v>4</v>
      </c>
      <c r="F813" s="6">
        <v>34.67</v>
      </c>
      <c r="G813" s="4">
        <v>51.83</v>
      </c>
      <c r="H813" t="s">
        <v>634</v>
      </c>
      <c r="I813" t="s">
        <v>2010</v>
      </c>
      <c r="J813" t="s">
        <v>2011</v>
      </c>
    </row>
    <row r="814" spans="1:10" x14ac:dyDescent="0.35">
      <c r="A814" t="s">
        <v>2012</v>
      </c>
      <c r="B814" t="s">
        <v>10</v>
      </c>
      <c r="C814" t="s">
        <v>22</v>
      </c>
      <c r="D814">
        <v>410.31</v>
      </c>
      <c r="E814">
        <v>5</v>
      </c>
      <c r="F814" s="6">
        <v>43.3</v>
      </c>
      <c r="G814" s="4">
        <v>78.27</v>
      </c>
      <c r="H814" t="s">
        <v>1181</v>
      </c>
      <c r="I814" t="s">
        <v>58</v>
      </c>
      <c r="J814" t="s">
        <v>2013</v>
      </c>
    </row>
    <row r="815" spans="1:10" x14ac:dyDescent="0.35">
      <c r="A815" t="s">
        <v>2014</v>
      </c>
      <c r="B815" t="s">
        <v>10</v>
      </c>
      <c r="C815" t="s">
        <v>37</v>
      </c>
      <c r="D815">
        <v>91.3</v>
      </c>
      <c r="E815">
        <v>4</v>
      </c>
      <c r="F815" s="6">
        <v>45.37</v>
      </c>
      <c r="G815" s="4">
        <v>98.31</v>
      </c>
      <c r="H815" t="s">
        <v>918</v>
      </c>
      <c r="I815" t="s">
        <v>426</v>
      </c>
      <c r="J815" t="s">
        <v>2015</v>
      </c>
    </row>
    <row r="816" spans="1:10" x14ac:dyDescent="0.35">
      <c r="A816" t="s">
        <v>2016</v>
      </c>
      <c r="B816" t="s">
        <v>16</v>
      </c>
      <c r="C816" t="s">
        <v>61</v>
      </c>
      <c r="D816">
        <v>120.4</v>
      </c>
      <c r="E816">
        <v>5</v>
      </c>
      <c r="F816" s="6">
        <v>46.59</v>
      </c>
      <c r="G816" s="4">
        <v>91.97</v>
      </c>
      <c r="H816" t="s">
        <v>186</v>
      </c>
      <c r="I816" t="s">
        <v>536</v>
      </c>
      <c r="J816" t="s">
        <v>2017</v>
      </c>
    </row>
    <row r="817" spans="1:10" x14ac:dyDescent="0.35">
      <c r="A817" t="s">
        <v>2018</v>
      </c>
      <c r="B817" t="s">
        <v>10</v>
      </c>
      <c r="C817" t="s">
        <v>27</v>
      </c>
      <c r="D817">
        <v>433.96</v>
      </c>
      <c r="E817">
        <v>5</v>
      </c>
      <c r="F817" s="6">
        <v>40.619999999999997</v>
      </c>
      <c r="G817" s="4">
        <v>53.4</v>
      </c>
      <c r="H817" t="s">
        <v>604</v>
      </c>
      <c r="I817" t="s">
        <v>483</v>
      </c>
      <c r="J817" t="s">
        <v>2019</v>
      </c>
    </row>
    <row r="818" spans="1:10" x14ac:dyDescent="0.35">
      <c r="A818" t="s">
        <v>2020</v>
      </c>
      <c r="B818" t="s">
        <v>10</v>
      </c>
      <c r="C818" t="s">
        <v>27</v>
      </c>
      <c r="D818">
        <v>245.28</v>
      </c>
      <c r="E818">
        <v>3</v>
      </c>
      <c r="F818" s="6">
        <v>13.26</v>
      </c>
      <c r="G818" s="4">
        <v>84.22</v>
      </c>
      <c r="H818" t="s">
        <v>287</v>
      </c>
      <c r="I818" t="s">
        <v>931</v>
      </c>
      <c r="J818" t="s">
        <v>2021</v>
      </c>
    </row>
    <row r="819" spans="1:10" x14ac:dyDescent="0.35">
      <c r="A819" t="s">
        <v>2022</v>
      </c>
      <c r="B819" t="s">
        <v>42</v>
      </c>
      <c r="C819" t="s">
        <v>32</v>
      </c>
      <c r="D819">
        <v>361.8</v>
      </c>
      <c r="E819">
        <v>4</v>
      </c>
      <c r="F819" s="6">
        <v>33.630000000000003</v>
      </c>
      <c r="G819" s="4">
        <v>59.53</v>
      </c>
      <c r="H819" t="s">
        <v>761</v>
      </c>
      <c r="I819" t="s">
        <v>851</v>
      </c>
      <c r="J819" t="s">
        <v>2023</v>
      </c>
    </row>
    <row r="820" spans="1:10" x14ac:dyDescent="0.35">
      <c r="A820" t="s">
        <v>2024</v>
      </c>
      <c r="B820" t="s">
        <v>42</v>
      </c>
      <c r="C820" t="s">
        <v>27</v>
      </c>
      <c r="D820">
        <v>296.11</v>
      </c>
      <c r="E820">
        <v>4</v>
      </c>
      <c r="F820" s="6">
        <v>14.55</v>
      </c>
      <c r="G820" s="4">
        <v>46.78</v>
      </c>
      <c r="H820" t="s">
        <v>686</v>
      </c>
      <c r="I820" t="s">
        <v>934</v>
      </c>
      <c r="J820" t="s">
        <v>2025</v>
      </c>
    </row>
    <row r="821" spans="1:10" x14ac:dyDescent="0.35">
      <c r="A821" t="s">
        <v>2026</v>
      </c>
      <c r="B821" t="s">
        <v>42</v>
      </c>
      <c r="C821" t="s">
        <v>32</v>
      </c>
      <c r="D821">
        <v>290.37</v>
      </c>
      <c r="E821">
        <v>3</v>
      </c>
      <c r="F821" s="6">
        <v>6.43</v>
      </c>
      <c r="G821" s="4">
        <v>60.99</v>
      </c>
      <c r="H821" t="s">
        <v>797</v>
      </c>
      <c r="I821" t="s">
        <v>800</v>
      </c>
      <c r="J821" t="s">
        <v>2027</v>
      </c>
    </row>
    <row r="822" spans="1:10" x14ac:dyDescent="0.35">
      <c r="A822" t="s">
        <v>2028</v>
      </c>
      <c r="B822" t="s">
        <v>16</v>
      </c>
      <c r="C822" t="s">
        <v>22</v>
      </c>
      <c r="D822">
        <v>378.28</v>
      </c>
      <c r="E822">
        <v>5</v>
      </c>
      <c r="F822" s="6">
        <v>21.92</v>
      </c>
      <c r="G822" s="4">
        <v>87.75</v>
      </c>
      <c r="H822" t="s">
        <v>859</v>
      </c>
      <c r="I822" t="s">
        <v>280</v>
      </c>
      <c r="J822" t="s">
        <v>2029</v>
      </c>
    </row>
    <row r="823" spans="1:10" x14ac:dyDescent="0.35">
      <c r="A823" t="s">
        <v>2030</v>
      </c>
      <c r="B823" t="s">
        <v>10</v>
      </c>
      <c r="C823" t="s">
        <v>22</v>
      </c>
      <c r="D823">
        <v>322.12</v>
      </c>
      <c r="E823">
        <v>4</v>
      </c>
      <c r="F823" s="6">
        <v>46.22</v>
      </c>
      <c r="G823" s="4">
        <v>71.72</v>
      </c>
      <c r="H823" t="s">
        <v>1152</v>
      </c>
      <c r="I823" t="s">
        <v>49</v>
      </c>
      <c r="J823" t="s">
        <v>2031</v>
      </c>
    </row>
    <row r="824" spans="1:10" x14ac:dyDescent="0.35">
      <c r="A824" t="s">
        <v>2032</v>
      </c>
      <c r="B824" t="s">
        <v>16</v>
      </c>
      <c r="C824" t="s">
        <v>61</v>
      </c>
      <c r="D824">
        <v>251.99</v>
      </c>
      <c r="E824">
        <v>4</v>
      </c>
      <c r="F824" s="6">
        <v>10.91</v>
      </c>
      <c r="G824" s="4">
        <v>55.93</v>
      </c>
      <c r="H824" t="s">
        <v>155</v>
      </c>
      <c r="I824" t="s">
        <v>23</v>
      </c>
      <c r="J824" t="s">
        <v>2033</v>
      </c>
    </row>
    <row r="825" spans="1:10" x14ac:dyDescent="0.35">
      <c r="A825" t="s">
        <v>2034</v>
      </c>
      <c r="B825" t="s">
        <v>10</v>
      </c>
      <c r="C825" t="s">
        <v>11</v>
      </c>
      <c r="D825">
        <v>480.31</v>
      </c>
      <c r="E825">
        <v>5</v>
      </c>
      <c r="F825" s="6">
        <v>22.53</v>
      </c>
      <c r="G825" s="4">
        <v>32.5</v>
      </c>
      <c r="H825" t="s">
        <v>522</v>
      </c>
      <c r="I825" t="s">
        <v>1013</v>
      </c>
      <c r="J825" t="s">
        <v>2035</v>
      </c>
    </row>
    <row r="826" spans="1:10" x14ac:dyDescent="0.35">
      <c r="A826" t="s">
        <v>2036</v>
      </c>
      <c r="B826" t="s">
        <v>10</v>
      </c>
      <c r="C826" t="s">
        <v>17</v>
      </c>
      <c r="D826">
        <v>367.29</v>
      </c>
      <c r="E826">
        <v>4</v>
      </c>
      <c r="F826" s="6">
        <v>29.67</v>
      </c>
      <c r="G826" s="4">
        <v>65.08</v>
      </c>
      <c r="H826" t="s">
        <v>945</v>
      </c>
      <c r="I826" t="s">
        <v>183</v>
      </c>
      <c r="J826" t="s">
        <v>2037</v>
      </c>
    </row>
    <row r="827" spans="1:10" x14ac:dyDescent="0.35">
      <c r="A827" t="s">
        <v>2038</v>
      </c>
      <c r="B827" t="s">
        <v>42</v>
      </c>
      <c r="C827" t="s">
        <v>89</v>
      </c>
      <c r="D827">
        <v>319.77999999999997</v>
      </c>
      <c r="E827">
        <v>4</v>
      </c>
      <c r="F827" s="6">
        <v>22.32</v>
      </c>
      <c r="G827" s="4">
        <v>73.88</v>
      </c>
      <c r="H827" t="s">
        <v>804</v>
      </c>
      <c r="I827" t="s">
        <v>1261</v>
      </c>
      <c r="J827" t="s">
        <v>2039</v>
      </c>
    </row>
    <row r="828" spans="1:10" x14ac:dyDescent="0.35">
      <c r="A828" t="s">
        <v>2040</v>
      </c>
      <c r="B828" t="s">
        <v>10</v>
      </c>
      <c r="C828" t="s">
        <v>11</v>
      </c>
      <c r="D828">
        <v>495.37</v>
      </c>
      <c r="E828">
        <v>5</v>
      </c>
      <c r="F828" s="6">
        <v>34.99</v>
      </c>
      <c r="G828" s="4">
        <v>26.43</v>
      </c>
      <c r="H828" t="s">
        <v>745</v>
      </c>
      <c r="I828" t="s">
        <v>1679</v>
      </c>
      <c r="J828" t="s">
        <v>2041</v>
      </c>
    </row>
    <row r="829" spans="1:10" x14ac:dyDescent="0.35">
      <c r="A829" t="s">
        <v>2042</v>
      </c>
      <c r="B829" t="s">
        <v>10</v>
      </c>
      <c r="C829" t="s">
        <v>32</v>
      </c>
      <c r="D829">
        <v>151.28</v>
      </c>
      <c r="E829">
        <v>5</v>
      </c>
      <c r="F829" s="6">
        <v>1.44</v>
      </c>
      <c r="G829" s="4">
        <v>40.450000000000003</v>
      </c>
      <c r="H829" t="s">
        <v>1878</v>
      </c>
      <c r="I829" t="s">
        <v>85</v>
      </c>
      <c r="J829" t="s">
        <v>2043</v>
      </c>
    </row>
    <row r="830" spans="1:10" x14ac:dyDescent="0.35">
      <c r="A830" t="s">
        <v>2044</v>
      </c>
      <c r="B830" t="s">
        <v>10</v>
      </c>
      <c r="C830" t="s">
        <v>47</v>
      </c>
      <c r="D830">
        <v>374.5</v>
      </c>
      <c r="E830">
        <v>4</v>
      </c>
      <c r="F830" s="6">
        <v>35.729999999999997</v>
      </c>
      <c r="G830" s="4">
        <v>28.01</v>
      </c>
      <c r="H830" t="s">
        <v>44</v>
      </c>
      <c r="I830" t="s">
        <v>291</v>
      </c>
      <c r="J830" t="s">
        <v>2045</v>
      </c>
    </row>
    <row r="831" spans="1:10" x14ac:dyDescent="0.35">
      <c r="A831" t="s">
        <v>2046</v>
      </c>
      <c r="B831" t="s">
        <v>42</v>
      </c>
      <c r="C831" t="s">
        <v>56</v>
      </c>
      <c r="D831">
        <v>207.1</v>
      </c>
      <c r="E831">
        <v>5</v>
      </c>
      <c r="F831" s="6">
        <v>44.4</v>
      </c>
      <c r="G831" s="4">
        <v>77.290000000000006</v>
      </c>
      <c r="H831" t="s">
        <v>78</v>
      </c>
      <c r="I831" t="s">
        <v>1328</v>
      </c>
      <c r="J831" t="s">
        <v>2047</v>
      </c>
    </row>
    <row r="832" spans="1:10" x14ac:dyDescent="0.35">
      <c r="A832" t="s">
        <v>2048</v>
      </c>
      <c r="B832" t="s">
        <v>16</v>
      </c>
      <c r="C832" t="s">
        <v>27</v>
      </c>
      <c r="D832">
        <v>334.42</v>
      </c>
      <c r="E832">
        <v>5</v>
      </c>
      <c r="F832" s="6">
        <v>24.13</v>
      </c>
      <c r="G832" s="4">
        <v>45.89</v>
      </c>
      <c r="H832" t="s">
        <v>417</v>
      </c>
      <c r="I832" t="s">
        <v>1047</v>
      </c>
      <c r="J832" t="s">
        <v>2049</v>
      </c>
    </row>
    <row r="833" spans="1:10" x14ac:dyDescent="0.35">
      <c r="A833" t="s">
        <v>2050</v>
      </c>
      <c r="B833" t="s">
        <v>10</v>
      </c>
      <c r="C833" t="s">
        <v>32</v>
      </c>
      <c r="D833">
        <v>93.25</v>
      </c>
      <c r="E833">
        <v>3</v>
      </c>
      <c r="F833" s="6">
        <v>33.299999999999997</v>
      </c>
      <c r="G833" s="4">
        <v>34.369999999999997</v>
      </c>
      <c r="H833" t="s">
        <v>413</v>
      </c>
      <c r="I833" t="s">
        <v>784</v>
      </c>
      <c r="J833" t="s">
        <v>2051</v>
      </c>
    </row>
    <row r="834" spans="1:10" x14ac:dyDescent="0.35">
      <c r="A834" t="s">
        <v>2052</v>
      </c>
      <c r="B834" t="s">
        <v>42</v>
      </c>
      <c r="C834" t="s">
        <v>37</v>
      </c>
      <c r="D834">
        <v>303.18</v>
      </c>
      <c r="E834">
        <v>4</v>
      </c>
      <c r="F834" s="6">
        <v>23.4</v>
      </c>
      <c r="G834" s="4">
        <v>54.49</v>
      </c>
      <c r="H834" t="s">
        <v>105</v>
      </c>
      <c r="I834" t="s">
        <v>171</v>
      </c>
      <c r="J834" t="s">
        <v>2053</v>
      </c>
    </row>
    <row r="835" spans="1:10" x14ac:dyDescent="0.35">
      <c r="A835" t="s">
        <v>2054</v>
      </c>
      <c r="B835" t="s">
        <v>42</v>
      </c>
      <c r="C835" t="s">
        <v>32</v>
      </c>
      <c r="D835">
        <v>157.47</v>
      </c>
      <c r="E835">
        <v>3</v>
      </c>
      <c r="F835" s="6">
        <v>25.18</v>
      </c>
      <c r="G835" s="4">
        <v>34.42</v>
      </c>
      <c r="H835" t="s">
        <v>295</v>
      </c>
      <c r="I835" t="s">
        <v>742</v>
      </c>
      <c r="J835" t="s">
        <v>2055</v>
      </c>
    </row>
    <row r="836" spans="1:10" x14ac:dyDescent="0.35">
      <c r="A836" t="s">
        <v>2056</v>
      </c>
      <c r="B836" t="s">
        <v>10</v>
      </c>
      <c r="C836" t="s">
        <v>22</v>
      </c>
      <c r="D836">
        <v>239.1</v>
      </c>
      <c r="E836">
        <v>4</v>
      </c>
      <c r="F836" s="6">
        <v>47.7</v>
      </c>
      <c r="G836" s="4">
        <v>71.16</v>
      </c>
      <c r="H836" t="s">
        <v>308</v>
      </c>
      <c r="I836" t="s">
        <v>85</v>
      </c>
      <c r="J836" t="s">
        <v>2057</v>
      </c>
    </row>
    <row r="837" spans="1:10" x14ac:dyDescent="0.35">
      <c r="A837" t="s">
        <v>2058</v>
      </c>
      <c r="B837" t="s">
        <v>42</v>
      </c>
      <c r="C837" t="s">
        <v>32</v>
      </c>
      <c r="D837">
        <v>364.08</v>
      </c>
      <c r="E837">
        <v>3</v>
      </c>
      <c r="F837" s="6">
        <v>35.21</v>
      </c>
      <c r="G837" s="4">
        <v>49.01</v>
      </c>
      <c r="H837" t="s">
        <v>146</v>
      </c>
      <c r="I837" t="s">
        <v>162</v>
      </c>
      <c r="J837" t="s">
        <v>2059</v>
      </c>
    </row>
    <row r="838" spans="1:10" x14ac:dyDescent="0.35">
      <c r="A838" t="s">
        <v>2060</v>
      </c>
      <c r="B838" t="s">
        <v>42</v>
      </c>
      <c r="C838" t="s">
        <v>61</v>
      </c>
      <c r="D838">
        <v>203.71</v>
      </c>
      <c r="E838">
        <v>4</v>
      </c>
      <c r="F838" s="6">
        <v>38.97</v>
      </c>
      <c r="G838" s="4">
        <v>79.45</v>
      </c>
      <c r="H838" t="s">
        <v>113</v>
      </c>
      <c r="I838" t="s">
        <v>880</v>
      </c>
      <c r="J838" t="s">
        <v>2061</v>
      </c>
    </row>
    <row r="839" spans="1:10" x14ac:dyDescent="0.35">
      <c r="A839" t="s">
        <v>2062</v>
      </c>
      <c r="B839" t="s">
        <v>16</v>
      </c>
      <c r="C839" t="s">
        <v>89</v>
      </c>
      <c r="D839">
        <v>306.29000000000002</v>
      </c>
      <c r="E839">
        <v>4</v>
      </c>
      <c r="F839" s="6">
        <v>12.24</v>
      </c>
      <c r="G839" s="4">
        <v>87.49</v>
      </c>
      <c r="H839" t="s">
        <v>1790</v>
      </c>
      <c r="I839" t="s">
        <v>589</v>
      </c>
      <c r="J839" t="s">
        <v>2063</v>
      </c>
    </row>
    <row r="840" spans="1:10" x14ac:dyDescent="0.35">
      <c r="A840" t="s">
        <v>2064</v>
      </c>
      <c r="B840" t="s">
        <v>16</v>
      </c>
      <c r="C840" t="s">
        <v>22</v>
      </c>
      <c r="D840">
        <v>240.08</v>
      </c>
      <c r="E840">
        <v>3</v>
      </c>
      <c r="F840" s="6">
        <v>40.479999999999997</v>
      </c>
      <c r="G840" s="4">
        <v>95</v>
      </c>
      <c r="H840" t="s">
        <v>354</v>
      </c>
      <c r="I840" t="s">
        <v>1022</v>
      </c>
      <c r="J840" t="s">
        <v>2065</v>
      </c>
    </row>
    <row r="841" spans="1:10" x14ac:dyDescent="0.35">
      <c r="A841" t="s">
        <v>2066</v>
      </c>
      <c r="B841" t="s">
        <v>16</v>
      </c>
      <c r="C841" t="s">
        <v>32</v>
      </c>
      <c r="D841">
        <v>361.24</v>
      </c>
      <c r="E841">
        <v>4</v>
      </c>
      <c r="F841" s="6">
        <v>22.13</v>
      </c>
      <c r="G841" s="4">
        <v>26.67</v>
      </c>
      <c r="H841" t="s">
        <v>554</v>
      </c>
      <c r="I841" t="s">
        <v>1878</v>
      </c>
      <c r="J841" t="s">
        <v>2067</v>
      </c>
    </row>
    <row r="842" spans="1:10" x14ac:dyDescent="0.35">
      <c r="A842" t="s">
        <v>2068</v>
      </c>
      <c r="B842" t="s">
        <v>42</v>
      </c>
      <c r="C842" t="s">
        <v>37</v>
      </c>
      <c r="D842">
        <v>160.72999999999999</v>
      </c>
      <c r="E842">
        <v>5</v>
      </c>
      <c r="F842" s="6">
        <v>5.49</v>
      </c>
      <c r="G842" s="4">
        <v>13.57</v>
      </c>
      <c r="H842" t="s">
        <v>348</v>
      </c>
      <c r="I842" t="s">
        <v>918</v>
      </c>
      <c r="J842" t="s">
        <v>2069</v>
      </c>
    </row>
    <row r="843" spans="1:10" x14ac:dyDescent="0.35">
      <c r="A843" t="s">
        <v>2070</v>
      </c>
      <c r="B843" t="s">
        <v>10</v>
      </c>
      <c r="C843" t="s">
        <v>32</v>
      </c>
      <c r="D843">
        <v>126.19</v>
      </c>
      <c r="E843">
        <v>4</v>
      </c>
      <c r="F843" s="6">
        <v>29.93</v>
      </c>
      <c r="G843" s="4">
        <v>17.760000000000002</v>
      </c>
      <c r="H843" t="s">
        <v>1197</v>
      </c>
      <c r="I843" t="s">
        <v>240</v>
      </c>
      <c r="J843" t="s">
        <v>2011</v>
      </c>
    </row>
    <row r="844" spans="1:10" x14ac:dyDescent="0.35">
      <c r="A844" t="s">
        <v>2071</v>
      </c>
      <c r="B844" t="s">
        <v>16</v>
      </c>
      <c r="C844" t="s">
        <v>32</v>
      </c>
      <c r="D844">
        <v>171.36</v>
      </c>
      <c r="E844">
        <v>3</v>
      </c>
      <c r="F844" s="6">
        <v>17.79</v>
      </c>
      <c r="G844" s="4">
        <v>85.7</v>
      </c>
      <c r="H844" t="s">
        <v>453</v>
      </c>
      <c r="I844" t="s">
        <v>1474</v>
      </c>
      <c r="J844" t="s">
        <v>2072</v>
      </c>
    </row>
    <row r="845" spans="1:10" x14ac:dyDescent="0.35">
      <c r="A845" t="s">
        <v>2073</v>
      </c>
      <c r="B845" t="s">
        <v>10</v>
      </c>
      <c r="C845" t="s">
        <v>27</v>
      </c>
      <c r="D845">
        <v>460.65</v>
      </c>
      <c r="E845">
        <v>4</v>
      </c>
      <c r="F845" s="6">
        <v>21.78</v>
      </c>
      <c r="G845" s="4">
        <v>25.19</v>
      </c>
      <c r="H845" t="s">
        <v>633</v>
      </c>
      <c r="I845" t="s">
        <v>172</v>
      </c>
      <c r="J845" t="s">
        <v>2074</v>
      </c>
    </row>
    <row r="846" spans="1:10" x14ac:dyDescent="0.35">
      <c r="A846" t="s">
        <v>2075</v>
      </c>
      <c r="B846" t="s">
        <v>16</v>
      </c>
      <c r="C846" t="s">
        <v>89</v>
      </c>
      <c r="D846">
        <v>315.08</v>
      </c>
      <c r="E846">
        <v>4</v>
      </c>
      <c r="F846" s="6">
        <v>4.33</v>
      </c>
      <c r="G846" s="4">
        <v>53.2</v>
      </c>
      <c r="H846" t="s">
        <v>224</v>
      </c>
      <c r="I846" t="s">
        <v>1474</v>
      </c>
      <c r="J846" t="s">
        <v>2076</v>
      </c>
    </row>
    <row r="847" spans="1:10" x14ac:dyDescent="0.35">
      <c r="A847" t="s">
        <v>2077</v>
      </c>
      <c r="B847" t="s">
        <v>10</v>
      </c>
      <c r="C847" t="s">
        <v>27</v>
      </c>
      <c r="D847">
        <v>147.22999999999999</v>
      </c>
      <c r="E847">
        <v>5</v>
      </c>
      <c r="F847" s="6">
        <v>27.51</v>
      </c>
      <c r="G847" s="4">
        <v>81.88</v>
      </c>
      <c r="H847" t="s">
        <v>256</v>
      </c>
      <c r="I847" t="s">
        <v>230</v>
      </c>
      <c r="J847" t="s">
        <v>2078</v>
      </c>
    </row>
    <row r="848" spans="1:10" x14ac:dyDescent="0.35">
      <c r="A848" t="s">
        <v>2079</v>
      </c>
      <c r="B848" t="s">
        <v>42</v>
      </c>
      <c r="C848" t="s">
        <v>17</v>
      </c>
      <c r="D848">
        <v>179.96</v>
      </c>
      <c r="E848">
        <v>4</v>
      </c>
      <c r="F848" s="6">
        <v>5.95</v>
      </c>
      <c r="G848" s="4">
        <v>24.56</v>
      </c>
      <c r="H848" t="s">
        <v>500</v>
      </c>
      <c r="I848" t="s">
        <v>1252</v>
      </c>
      <c r="J848" t="s">
        <v>2080</v>
      </c>
    </row>
    <row r="849" spans="1:10" x14ac:dyDescent="0.35">
      <c r="A849" t="s">
        <v>2081</v>
      </c>
      <c r="B849" t="s">
        <v>10</v>
      </c>
      <c r="C849" t="s">
        <v>32</v>
      </c>
      <c r="D849">
        <v>105.67</v>
      </c>
      <c r="E849">
        <v>5</v>
      </c>
      <c r="F849" s="6">
        <v>40.35</v>
      </c>
      <c r="G849" s="4">
        <v>79.22</v>
      </c>
      <c r="H849" t="s">
        <v>304</v>
      </c>
      <c r="I849" t="s">
        <v>305</v>
      </c>
      <c r="J849" t="s">
        <v>2082</v>
      </c>
    </row>
    <row r="850" spans="1:10" x14ac:dyDescent="0.35">
      <c r="A850" t="s">
        <v>2083</v>
      </c>
      <c r="B850" t="s">
        <v>10</v>
      </c>
      <c r="C850" t="s">
        <v>37</v>
      </c>
      <c r="D850">
        <v>469.8</v>
      </c>
      <c r="E850">
        <v>4</v>
      </c>
      <c r="F850" s="6">
        <v>35.11</v>
      </c>
      <c r="G850" s="4">
        <v>41.91</v>
      </c>
      <c r="H850" t="s">
        <v>624</v>
      </c>
      <c r="I850" t="s">
        <v>318</v>
      </c>
      <c r="J850" t="s">
        <v>2084</v>
      </c>
    </row>
    <row r="851" spans="1:10" x14ac:dyDescent="0.35">
      <c r="A851" t="s">
        <v>2085</v>
      </c>
      <c r="B851" t="s">
        <v>16</v>
      </c>
      <c r="C851" t="s">
        <v>61</v>
      </c>
      <c r="D851">
        <v>365.67</v>
      </c>
      <c r="E851">
        <v>5</v>
      </c>
      <c r="F851" s="6">
        <v>3.68</v>
      </c>
      <c r="G851" s="4">
        <v>45.66</v>
      </c>
      <c r="H851" t="s">
        <v>821</v>
      </c>
      <c r="I851" t="s">
        <v>522</v>
      </c>
      <c r="J851" t="s">
        <v>2086</v>
      </c>
    </row>
    <row r="852" spans="1:10" x14ac:dyDescent="0.35">
      <c r="A852" t="s">
        <v>2087</v>
      </c>
      <c r="B852" t="s">
        <v>10</v>
      </c>
      <c r="C852" t="s">
        <v>47</v>
      </c>
      <c r="D852">
        <v>446.02</v>
      </c>
      <c r="E852">
        <v>4</v>
      </c>
      <c r="F852" s="6">
        <v>21.02</v>
      </c>
      <c r="G852" s="4">
        <v>91.62</v>
      </c>
      <c r="H852" t="s">
        <v>405</v>
      </c>
      <c r="I852" t="s">
        <v>713</v>
      </c>
      <c r="J852" t="s">
        <v>2088</v>
      </c>
    </row>
    <row r="853" spans="1:10" x14ac:dyDescent="0.35">
      <c r="A853" t="s">
        <v>2089</v>
      </c>
      <c r="B853" t="s">
        <v>16</v>
      </c>
      <c r="C853" t="s">
        <v>56</v>
      </c>
      <c r="D853">
        <v>230.44</v>
      </c>
      <c r="E853">
        <v>5</v>
      </c>
      <c r="F853" s="6">
        <v>46.8</v>
      </c>
      <c r="G853" s="4">
        <v>82.69</v>
      </c>
      <c r="H853" t="s">
        <v>1679</v>
      </c>
      <c r="I853" t="s">
        <v>960</v>
      </c>
      <c r="J853" t="s">
        <v>2090</v>
      </c>
    </row>
    <row r="854" spans="1:10" x14ac:dyDescent="0.35">
      <c r="A854" t="s">
        <v>2091</v>
      </c>
      <c r="B854" t="s">
        <v>10</v>
      </c>
      <c r="C854" t="s">
        <v>11</v>
      </c>
      <c r="D854">
        <v>135.84</v>
      </c>
      <c r="E854">
        <v>5</v>
      </c>
      <c r="F854" s="6">
        <v>27.7</v>
      </c>
      <c r="G854" s="4">
        <v>46.12</v>
      </c>
      <c r="H854" t="s">
        <v>245</v>
      </c>
      <c r="I854" t="s">
        <v>494</v>
      </c>
      <c r="J854" t="s">
        <v>2092</v>
      </c>
    </row>
    <row r="855" spans="1:10" x14ac:dyDescent="0.35">
      <c r="A855" t="s">
        <v>2093</v>
      </c>
      <c r="B855" t="s">
        <v>16</v>
      </c>
      <c r="C855" t="s">
        <v>27</v>
      </c>
      <c r="D855">
        <v>454.13</v>
      </c>
      <c r="E855">
        <v>5</v>
      </c>
      <c r="F855" s="6">
        <v>16.98</v>
      </c>
      <c r="G855" s="4">
        <v>55.43</v>
      </c>
      <c r="H855" t="s">
        <v>209</v>
      </c>
      <c r="I855" t="s">
        <v>554</v>
      </c>
      <c r="J855" t="s">
        <v>2094</v>
      </c>
    </row>
    <row r="856" spans="1:10" x14ac:dyDescent="0.35">
      <c r="A856" t="s">
        <v>2095</v>
      </c>
      <c r="B856" t="s">
        <v>42</v>
      </c>
      <c r="C856" t="s">
        <v>22</v>
      </c>
      <c r="D856">
        <v>465.58</v>
      </c>
      <c r="E856">
        <v>5</v>
      </c>
      <c r="F856" s="6">
        <v>14.01</v>
      </c>
      <c r="G856" s="4">
        <v>64.08</v>
      </c>
      <c r="H856" t="s">
        <v>1252</v>
      </c>
      <c r="I856" t="s">
        <v>158</v>
      </c>
      <c r="J856" t="s">
        <v>2096</v>
      </c>
    </row>
    <row r="857" spans="1:10" x14ac:dyDescent="0.35">
      <c r="A857" t="s">
        <v>2097</v>
      </c>
      <c r="B857" t="s">
        <v>16</v>
      </c>
      <c r="C857" t="s">
        <v>61</v>
      </c>
      <c r="D857">
        <v>271.73</v>
      </c>
      <c r="E857">
        <v>5</v>
      </c>
      <c r="F857" s="6">
        <v>6.63</v>
      </c>
      <c r="G857" s="4">
        <v>30.66</v>
      </c>
      <c r="H857" t="s">
        <v>1152</v>
      </c>
      <c r="I857" t="s">
        <v>326</v>
      </c>
      <c r="J857" t="s">
        <v>2098</v>
      </c>
    </row>
    <row r="858" spans="1:10" x14ac:dyDescent="0.35">
      <c r="A858" t="s">
        <v>2099</v>
      </c>
      <c r="B858" t="s">
        <v>42</v>
      </c>
      <c r="C858" t="s">
        <v>89</v>
      </c>
      <c r="D858">
        <v>424.8</v>
      </c>
      <c r="E858">
        <v>3</v>
      </c>
      <c r="F858" s="6">
        <v>28.56</v>
      </c>
      <c r="G858" s="4">
        <v>18.29</v>
      </c>
      <c r="H858" t="s">
        <v>589</v>
      </c>
      <c r="I858" t="s">
        <v>266</v>
      </c>
      <c r="J858" t="s">
        <v>2100</v>
      </c>
    </row>
    <row r="859" spans="1:10" x14ac:dyDescent="0.35">
      <c r="A859" t="s">
        <v>2101</v>
      </c>
      <c r="B859" t="s">
        <v>16</v>
      </c>
      <c r="C859" t="s">
        <v>37</v>
      </c>
      <c r="D859">
        <v>220.71</v>
      </c>
      <c r="E859">
        <v>5</v>
      </c>
      <c r="F859" s="6">
        <v>35.42</v>
      </c>
      <c r="G859" s="4">
        <v>18.760000000000002</v>
      </c>
      <c r="H859" t="s">
        <v>417</v>
      </c>
      <c r="I859" t="s">
        <v>1998</v>
      </c>
      <c r="J859" t="s">
        <v>2102</v>
      </c>
    </row>
    <row r="860" spans="1:10" x14ac:dyDescent="0.35">
      <c r="A860" t="s">
        <v>2103</v>
      </c>
      <c r="B860" t="s">
        <v>10</v>
      </c>
      <c r="C860" t="s">
        <v>37</v>
      </c>
      <c r="D860">
        <v>455.76</v>
      </c>
      <c r="E860">
        <v>4</v>
      </c>
      <c r="F860" s="6">
        <v>38.880000000000003</v>
      </c>
      <c r="G860" s="4">
        <v>70.89</v>
      </c>
      <c r="H860" t="s">
        <v>44</v>
      </c>
      <c r="I860" t="s">
        <v>809</v>
      </c>
      <c r="J860" t="s">
        <v>2104</v>
      </c>
    </row>
    <row r="861" spans="1:10" x14ac:dyDescent="0.35">
      <c r="A861" t="s">
        <v>2105</v>
      </c>
      <c r="B861" t="s">
        <v>10</v>
      </c>
      <c r="C861" t="s">
        <v>17</v>
      </c>
      <c r="D861">
        <v>426.78</v>
      </c>
      <c r="E861">
        <v>4</v>
      </c>
      <c r="F861" s="6">
        <v>38.58</v>
      </c>
      <c r="G861" s="4">
        <v>58.75</v>
      </c>
      <c r="H861" t="s">
        <v>416</v>
      </c>
      <c r="I861" t="s">
        <v>708</v>
      </c>
      <c r="J861" t="s">
        <v>2106</v>
      </c>
    </row>
    <row r="862" spans="1:10" x14ac:dyDescent="0.35">
      <c r="A862" t="s">
        <v>2107</v>
      </c>
      <c r="B862" t="s">
        <v>10</v>
      </c>
      <c r="C862" t="s">
        <v>27</v>
      </c>
      <c r="D862">
        <v>370.97</v>
      </c>
      <c r="E862">
        <v>5</v>
      </c>
      <c r="F862" s="6">
        <v>39.979999999999997</v>
      </c>
      <c r="G862" s="4">
        <v>70.959999999999994</v>
      </c>
      <c r="H862" t="s">
        <v>367</v>
      </c>
      <c r="I862" t="s">
        <v>13</v>
      </c>
      <c r="J862" t="s">
        <v>2108</v>
      </c>
    </row>
    <row r="863" spans="1:10" x14ac:dyDescent="0.35">
      <c r="A863" t="s">
        <v>2109</v>
      </c>
      <c r="B863" t="s">
        <v>42</v>
      </c>
      <c r="C863" t="s">
        <v>17</v>
      </c>
      <c r="D863">
        <v>238.95</v>
      </c>
      <c r="E863">
        <v>3</v>
      </c>
      <c r="F863" s="6">
        <v>8.98</v>
      </c>
      <c r="G863" s="4">
        <v>12.79</v>
      </c>
      <c r="H863" t="s">
        <v>975</v>
      </c>
      <c r="I863" t="s">
        <v>1474</v>
      </c>
      <c r="J863" t="s">
        <v>2110</v>
      </c>
    </row>
    <row r="864" spans="1:10" x14ac:dyDescent="0.35">
      <c r="A864" t="s">
        <v>2111</v>
      </c>
      <c r="B864" t="s">
        <v>10</v>
      </c>
      <c r="C864" t="s">
        <v>89</v>
      </c>
      <c r="D864">
        <v>203.2</v>
      </c>
      <c r="E864">
        <v>4</v>
      </c>
      <c r="F864" s="6">
        <v>35.130000000000003</v>
      </c>
      <c r="G864" s="4">
        <v>43.1</v>
      </c>
      <c r="H864" t="s">
        <v>991</v>
      </c>
      <c r="I864" t="s">
        <v>507</v>
      </c>
      <c r="J864" t="s">
        <v>2112</v>
      </c>
    </row>
    <row r="865" spans="1:10" x14ac:dyDescent="0.35">
      <c r="A865" t="s">
        <v>2113</v>
      </c>
      <c r="B865" t="s">
        <v>16</v>
      </c>
      <c r="C865" t="s">
        <v>61</v>
      </c>
      <c r="D865">
        <v>261.73</v>
      </c>
      <c r="E865">
        <v>3</v>
      </c>
      <c r="F865" s="6">
        <v>3.98</v>
      </c>
      <c r="G865" s="4">
        <v>61.72</v>
      </c>
      <c r="H865" t="s">
        <v>925</v>
      </c>
      <c r="I865" t="s">
        <v>342</v>
      </c>
      <c r="J865" t="s">
        <v>2114</v>
      </c>
    </row>
    <row r="866" spans="1:10" x14ac:dyDescent="0.35">
      <c r="A866" t="s">
        <v>2115</v>
      </c>
      <c r="B866" t="s">
        <v>42</v>
      </c>
      <c r="C866" t="s">
        <v>11</v>
      </c>
      <c r="D866">
        <v>442.77</v>
      </c>
      <c r="E866">
        <v>3</v>
      </c>
      <c r="F866" s="6">
        <v>29.25</v>
      </c>
      <c r="G866" s="4">
        <v>29.15</v>
      </c>
      <c r="H866" t="s">
        <v>834</v>
      </c>
      <c r="I866" t="s">
        <v>34</v>
      </c>
      <c r="J866" t="s">
        <v>2116</v>
      </c>
    </row>
    <row r="867" spans="1:10" x14ac:dyDescent="0.35">
      <c r="A867" t="s">
        <v>2117</v>
      </c>
      <c r="B867" t="s">
        <v>16</v>
      </c>
      <c r="C867" t="s">
        <v>17</v>
      </c>
      <c r="D867">
        <v>404.97</v>
      </c>
      <c r="E867">
        <v>3</v>
      </c>
      <c r="F867" s="6">
        <v>31.76</v>
      </c>
      <c r="G867" s="4">
        <v>41.7</v>
      </c>
      <c r="H867" t="s">
        <v>236</v>
      </c>
      <c r="I867" t="s">
        <v>391</v>
      </c>
      <c r="J867" t="s">
        <v>1601</v>
      </c>
    </row>
    <row r="868" spans="1:10" x14ac:dyDescent="0.35">
      <c r="A868" t="s">
        <v>2118</v>
      </c>
      <c r="B868" t="s">
        <v>42</v>
      </c>
      <c r="C868" t="s">
        <v>61</v>
      </c>
      <c r="D868">
        <v>223.3</v>
      </c>
      <c r="E868">
        <v>4</v>
      </c>
      <c r="F868" s="6">
        <v>4.26</v>
      </c>
      <c r="G868" s="4">
        <v>57.9</v>
      </c>
      <c r="H868" t="s">
        <v>590</v>
      </c>
      <c r="I868" t="s">
        <v>29</v>
      </c>
      <c r="J868" t="s">
        <v>2119</v>
      </c>
    </row>
    <row r="869" spans="1:10" x14ac:dyDescent="0.35">
      <c r="A869" t="s">
        <v>2120</v>
      </c>
      <c r="B869" t="s">
        <v>16</v>
      </c>
      <c r="C869" t="s">
        <v>61</v>
      </c>
      <c r="D869">
        <v>260.48</v>
      </c>
      <c r="E869">
        <v>3</v>
      </c>
      <c r="F869" s="6">
        <v>49.23</v>
      </c>
      <c r="G869" s="4">
        <v>18.510000000000002</v>
      </c>
      <c r="H869" t="s">
        <v>220</v>
      </c>
      <c r="I869" t="s">
        <v>221</v>
      </c>
      <c r="J869" t="s">
        <v>2121</v>
      </c>
    </row>
    <row r="870" spans="1:10" x14ac:dyDescent="0.35">
      <c r="A870" t="s">
        <v>2122</v>
      </c>
      <c r="B870" t="s">
        <v>10</v>
      </c>
      <c r="C870" t="s">
        <v>27</v>
      </c>
      <c r="D870">
        <v>413.73</v>
      </c>
      <c r="E870">
        <v>4</v>
      </c>
      <c r="F870" s="6">
        <v>27.47</v>
      </c>
      <c r="G870" s="4">
        <v>25.85</v>
      </c>
      <c r="H870" t="s">
        <v>960</v>
      </c>
      <c r="I870" t="s">
        <v>513</v>
      </c>
      <c r="J870" t="s">
        <v>2123</v>
      </c>
    </row>
    <row r="871" spans="1:10" x14ac:dyDescent="0.35">
      <c r="A871" t="s">
        <v>2124</v>
      </c>
      <c r="B871" t="s">
        <v>16</v>
      </c>
      <c r="C871" t="s">
        <v>32</v>
      </c>
      <c r="D871">
        <v>396.48</v>
      </c>
      <c r="E871">
        <v>5</v>
      </c>
      <c r="F871" s="6">
        <v>2.1</v>
      </c>
      <c r="G871" s="4">
        <v>17.12</v>
      </c>
      <c r="H871" t="s">
        <v>405</v>
      </c>
      <c r="I871" t="s">
        <v>288</v>
      </c>
      <c r="J871" t="s">
        <v>2125</v>
      </c>
    </row>
    <row r="872" spans="1:10" x14ac:dyDescent="0.35">
      <c r="A872" t="s">
        <v>2126</v>
      </c>
      <c r="B872" t="s">
        <v>10</v>
      </c>
      <c r="C872" t="s">
        <v>37</v>
      </c>
      <c r="D872">
        <v>177.67</v>
      </c>
      <c r="E872">
        <v>5</v>
      </c>
      <c r="F872" s="6">
        <v>0.94</v>
      </c>
      <c r="G872" s="4">
        <v>99.2</v>
      </c>
      <c r="H872" t="s">
        <v>803</v>
      </c>
      <c r="I872" t="s">
        <v>168</v>
      </c>
      <c r="J872" t="s">
        <v>2127</v>
      </c>
    </row>
    <row r="873" spans="1:10" x14ac:dyDescent="0.35">
      <c r="A873" t="s">
        <v>2128</v>
      </c>
      <c r="B873" t="s">
        <v>10</v>
      </c>
      <c r="C873" t="s">
        <v>56</v>
      </c>
      <c r="D873">
        <v>223.14</v>
      </c>
      <c r="E873">
        <v>3</v>
      </c>
      <c r="F873" s="6">
        <v>8.48</v>
      </c>
      <c r="G873" s="4">
        <v>95.41</v>
      </c>
      <c r="H873" t="s">
        <v>1243</v>
      </c>
      <c r="I873" t="s">
        <v>318</v>
      </c>
      <c r="J873" t="s">
        <v>2129</v>
      </c>
    </row>
    <row r="874" spans="1:10" x14ac:dyDescent="0.35">
      <c r="A874" t="s">
        <v>2130</v>
      </c>
      <c r="B874" t="s">
        <v>16</v>
      </c>
      <c r="C874" t="s">
        <v>22</v>
      </c>
      <c r="D874">
        <v>306.64999999999998</v>
      </c>
      <c r="E874">
        <v>3</v>
      </c>
      <c r="F874" s="6">
        <v>6.25</v>
      </c>
      <c r="G874" s="4">
        <v>75.42</v>
      </c>
      <c r="H874" t="s">
        <v>493</v>
      </c>
      <c r="I874" t="s">
        <v>494</v>
      </c>
      <c r="J874" t="s">
        <v>2131</v>
      </c>
    </row>
    <row r="875" spans="1:10" x14ac:dyDescent="0.35">
      <c r="A875" t="s">
        <v>2132</v>
      </c>
      <c r="B875" t="s">
        <v>10</v>
      </c>
      <c r="C875" t="s">
        <v>27</v>
      </c>
      <c r="D875">
        <v>86.56</v>
      </c>
      <c r="E875">
        <v>3</v>
      </c>
      <c r="F875" s="6">
        <v>4.3099999999999996</v>
      </c>
      <c r="G875" s="4">
        <v>18.05</v>
      </c>
      <c r="H875" t="s">
        <v>558</v>
      </c>
      <c r="I875" t="s">
        <v>804</v>
      </c>
      <c r="J875" t="s">
        <v>2133</v>
      </c>
    </row>
    <row r="876" spans="1:10" x14ac:dyDescent="0.35">
      <c r="A876" t="s">
        <v>2134</v>
      </c>
      <c r="B876" t="s">
        <v>10</v>
      </c>
      <c r="C876" t="s">
        <v>11</v>
      </c>
      <c r="D876">
        <v>484.16</v>
      </c>
      <c r="E876">
        <v>4</v>
      </c>
      <c r="F876" s="6">
        <v>31.81</v>
      </c>
      <c r="G876" s="4">
        <v>98.62</v>
      </c>
      <c r="H876" t="s">
        <v>63</v>
      </c>
      <c r="I876" t="s">
        <v>376</v>
      </c>
      <c r="J876" t="s">
        <v>2135</v>
      </c>
    </row>
    <row r="877" spans="1:10" x14ac:dyDescent="0.35">
      <c r="A877" t="s">
        <v>2136</v>
      </c>
      <c r="B877" t="s">
        <v>42</v>
      </c>
      <c r="C877" t="s">
        <v>56</v>
      </c>
      <c r="D877">
        <v>494.48</v>
      </c>
      <c r="E877">
        <v>4</v>
      </c>
      <c r="F877" s="6">
        <v>11.62</v>
      </c>
      <c r="G877" s="4">
        <v>99.37</v>
      </c>
      <c r="H877" t="s">
        <v>1038</v>
      </c>
      <c r="I877" t="s">
        <v>1878</v>
      </c>
      <c r="J877" t="s">
        <v>2137</v>
      </c>
    </row>
    <row r="878" spans="1:10" x14ac:dyDescent="0.35">
      <c r="A878" t="s">
        <v>2138</v>
      </c>
      <c r="B878" t="s">
        <v>10</v>
      </c>
      <c r="C878" t="s">
        <v>47</v>
      </c>
      <c r="D878">
        <v>351.98</v>
      </c>
      <c r="E878">
        <v>5</v>
      </c>
      <c r="F878" s="6">
        <v>22.44</v>
      </c>
      <c r="G878" s="4">
        <v>19.07</v>
      </c>
      <c r="H878" t="s">
        <v>49</v>
      </c>
      <c r="I878" t="s">
        <v>624</v>
      </c>
      <c r="J878" t="s">
        <v>2139</v>
      </c>
    </row>
    <row r="879" spans="1:10" x14ac:dyDescent="0.35">
      <c r="A879" t="s">
        <v>2140</v>
      </c>
      <c r="B879" t="s">
        <v>10</v>
      </c>
      <c r="C879" t="s">
        <v>11</v>
      </c>
      <c r="D879">
        <v>113.78</v>
      </c>
      <c r="E879">
        <v>3</v>
      </c>
      <c r="F879" s="6">
        <v>48.54</v>
      </c>
      <c r="G879" s="4">
        <v>34.630000000000003</v>
      </c>
      <c r="H879" t="s">
        <v>376</v>
      </c>
      <c r="I879" t="s">
        <v>1387</v>
      </c>
      <c r="J879" t="s">
        <v>2141</v>
      </c>
    </row>
    <row r="880" spans="1:10" x14ac:dyDescent="0.35">
      <c r="A880" t="s">
        <v>2142</v>
      </c>
      <c r="B880" t="s">
        <v>42</v>
      </c>
      <c r="C880" t="s">
        <v>47</v>
      </c>
      <c r="D880">
        <v>497.87</v>
      </c>
      <c r="E880">
        <v>5</v>
      </c>
      <c r="F880" s="6">
        <v>48.14</v>
      </c>
      <c r="G880" s="4">
        <v>63.85</v>
      </c>
      <c r="H880" t="s">
        <v>292</v>
      </c>
      <c r="I880" t="s">
        <v>241</v>
      </c>
      <c r="J880" t="s">
        <v>2143</v>
      </c>
    </row>
    <row r="881" spans="1:10" x14ac:dyDescent="0.35">
      <c r="A881" t="s">
        <v>2144</v>
      </c>
      <c r="B881" t="s">
        <v>16</v>
      </c>
      <c r="C881" t="s">
        <v>37</v>
      </c>
      <c r="D881">
        <v>446.24</v>
      </c>
      <c r="E881">
        <v>4</v>
      </c>
      <c r="F881" s="6">
        <v>23.52</v>
      </c>
      <c r="G881" s="4">
        <v>72.680000000000007</v>
      </c>
      <c r="H881" t="s">
        <v>426</v>
      </c>
      <c r="I881" t="s">
        <v>851</v>
      </c>
      <c r="J881" t="s">
        <v>2145</v>
      </c>
    </row>
    <row r="882" spans="1:10" x14ac:dyDescent="0.35">
      <c r="A882" t="s">
        <v>2146</v>
      </c>
      <c r="B882" t="s">
        <v>10</v>
      </c>
      <c r="C882" t="s">
        <v>89</v>
      </c>
      <c r="D882">
        <v>460.46</v>
      </c>
      <c r="E882">
        <v>4</v>
      </c>
      <c r="F882" s="6">
        <v>31.14</v>
      </c>
      <c r="G882" s="4">
        <v>40.28</v>
      </c>
      <c r="H882" t="s">
        <v>594</v>
      </c>
      <c r="I882" t="s">
        <v>1878</v>
      </c>
      <c r="J882" t="s">
        <v>2147</v>
      </c>
    </row>
    <row r="883" spans="1:10" x14ac:dyDescent="0.35">
      <c r="A883" t="s">
        <v>2148</v>
      </c>
      <c r="B883" t="s">
        <v>16</v>
      </c>
      <c r="C883" t="s">
        <v>89</v>
      </c>
      <c r="D883">
        <v>279.95999999999998</v>
      </c>
      <c r="E883">
        <v>3</v>
      </c>
      <c r="F883" s="6">
        <v>2.16</v>
      </c>
      <c r="G883" s="4">
        <v>34.72</v>
      </c>
      <c r="H883" t="s">
        <v>554</v>
      </c>
      <c r="I883" t="s">
        <v>724</v>
      </c>
      <c r="J883" t="s">
        <v>2149</v>
      </c>
    </row>
    <row r="884" spans="1:10" x14ac:dyDescent="0.35">
      <c r="A884" t="s">
        <v>2150</v>
      </c>
      <c r="B884" t="s">
        <v>16</v>
      </c>
      <c r="C884" t="s">
        <v>17</v>
      </c>
      <c r="D884">
        <v>213.38</v>
      </c>
      <c r="E884">
        <v>5</v>
      </c>
      <c r="F884" s="6">
        <v>29.52</v>
      </c>
      <c r="G884" s="4">
        <v>42.31</v>
      </c>
      <c r="H884" t="s">
        <v>135</v>
      </c>
      <c r="I884" t="s">
        <v>1675</v>
      </c>
      <c r="J884" t="s">
        <v>2151</v>
      </c>
    </row>
    <row r="885" spans="1:10" x14ac:dyDescent="0.35">
      <c r="A885" t="s">
        <v>2152</v>
      </c>
      <c r="B885" t="s">
        <v>16</v>
      </c>
      <c r="C885" t="s">
        <v>17</v>
      </c>
      <c r="D885">
        <v>356.18</v>
      </c>
      <c r="E885">
        <v>3</v>
      </c>
      <c r="F885" s="6">
        <v>49.77</v>
      </c>
      <c r="G885" s="4">
        <v>45.63</v>
      </c>
      <c r="H885" t="s">
        <v>1317</v>
      </c>
      <c r="I885" t="s">
        <v>280</v>
      </c>
      <c r="J885" t="s">
        <v>2153</v>
      </c>
    </row>
    <row r="886" spans="1:10" x14ac:dyDescent="0.35">
      <c r="A886" t="s">
        <v>2154</v>
      </c>
      <c r="B886" t="s">
        <v>42</v>
      </c>
      <c r="C886" t="s">
        <v>61</v>
      </c>
      <c r="D886">
        <v>415.18</v>
      </c>
      <c r="E886">
        <v>4</v>
      </c>
      <c r="F886" s="6">
        <v>6.23</v>
      </c>
      <c r="G886" s="4">
        <v>38.409999999999997</v>
      </c>
      <c r="H886" t="s">
        <v>470</v>
      </c>
      <c r="I886" t="s">
        <v>503</v>
      </c>
      <c r="J886" t="s">
        <v>2155</v>
      </c>
    </row>
    <row r="887" spans="1:10" x14ac:dyDescent="0.35">
      <c r="A887" t="s">
        <v>2156</v>
      </c>
      <c r="B887" t="s">
        <v>42</v>
      </c>
      <c r="C887" t="s">
        <v>37</v>
      </c>
      <c r="D887">
        <v>415.79</v>
      </c>
      <c r="E887">
        <v>4</v>
      </c>
      <c r="F887" s="6">
        <v>6.17</v>
      </c>
      <c r="G887" s="4">
        <v>65.569999999999993</v>
      </c>
      <c r="H887" t="s">
        <v>28</v>
      </c>
      <c r="I887" t="s">
        <v>1079</v>
      </c>
      <c r="J887" t="s">
        <v>2157</v>
      </c>
    </row>
    <row r="888" spans="1:10" x14ac:dyDescent="0.35">
      <c r="A888" t="s">
        <v>2158</v>
      </c>
      <c r="B888" t="s">
        <v>16</v>
      </c>
      <c r="C888" t="s">
        <v>61</v>
      </c>
      <c r="D888">
        <v>189.63</v>
      </c>
      <c r="E888">
        <v>4</v>
      </c>
      <c r="F888" s="6">
        <v>33.11</v>
      </c>
      <c r="G888" s="4">
        <v>91.59</v>
      </c>
      <c r="H888" t="s">
        <v>526</v>
      </c>
      <c r="I888" t="s">
        <v>477</v>
      </c>
      <c r="J888" t="s">
        <v>2159</v>
      </c>
    </row>
    <row r="889" spans="1:10" x14ac:dyDescent="0.35">
      <c r="A889" t="s">
        <v>2160</v>
      </c>
      <c r="B889" t="s">
        <v>42</v>
      </c>
      <c r="C889" t="s">
        <v>32</v>
      </c>
      <c r="D889">
        <v>440.3</v>
      </c>
      <c r="E889">
        <v>4</v>
      </c>
      <c r="F889" s="6">
        <v>0.31</v>
      </c>
      <c r="G889" s="4">
        <v>71.66</v>
      </c>
      <c r="H889" t="s">
        <v>546</v>
      </c>
      <c r="I889" t="s">
        <v>1266</v>
      </c>
      <c r="J889" t="s">
        <v>2161</v>
      </c>
    </row>
    <row r="890" spans="1:10" x14ac:dyDescent="0.35">
      <c r="A890" t="s">
        <v>2162</v>
      </c>
      <c r="B890" t="s">
        <v>10</v>
      </c>
      <c r="C890" t="s">
        <v>27</v>
      </c>
      <c r="D890">
        <v>170.69</v>
      </c>
      <c r="E890">
        <v>4</v>
      </c>
      <c r="F890" s="6">
        <v>47.43</v>
      </c>
      <c r="G890" s="4">
        <v>77.89</v>
      </c>
      <c r="H890" t="s">
        <v>70</v>
      </c>
      <c r="I890" t="s">
        <v>370</v>
      </c>
      <c r="J890" t="s">
        <v>2163</v>
      </c>
    </row>
    <row r="891" spans="1:10" x14ac:dyDescent="0.35">
      <c r="A891" t="s">
        <v>2164</v>
      </c>
      <c r="B891" t="s">
        <v>16</v>
      </c>
      <c r="C891" t="s">
        <v>61</v>
      </c>
      <c r="D891">
        <v>496.68</v>
      </c>
      <c r="E891">
        <v>5</v>
      </c>
      <c r="F891" s="6">
        <v>45.69</v>
      </c>
      <c r="G891" s="4">
        <v>48.01</v>
      </c>
      <c r="H891" t="s">
        <v>39</v>
      </c>
      <c r="I891" t="s">
        <v>522</v>
      </c>
      <c r="J891" t="s">
        <v>2165</v>
      </c>
    </row>
    <row r="892" spans="1:10" x14ac:dyDescent="0.35">
      <c r="A892" t="s">
        <v>2166</v>
      </c>
      <c r="B892" t="s">
        <v>16</v>
      </c>
      <c r="C892" t="s">
        <v>17</v>
      </c>
      <c r="D892">
        <v>327.44</v>
      </c>
      <c r="E892">
        <v>5</v>
      </c>
      <c r="F892" s="6">
        <v>13.2</v>
      </c>
      <c r="G892" s="4">
        <v>43.04</v>
      </c>
      <c r="H892" t="s">
        <v>594</v>
      </c>
      <c r="I892" t="s">
        <v>1805</v>
      </c>
      <c r="J892" t="s">
        <v>2167</v>
      </c>
    </row>
    <row r="893" spans="1:10" x14ac:dyDescent="0.35">
      <c r="A893" t="s">
        <v>2168</v>
      </c>
      <c r="B893" t="s">
        <v>42</v>
      </c>
      <c r="C893" t="s">
        <v>47</v>
      </c>
      <c r="D893">
        <v>167.12</v>
      </c>
      <c r="E893">
        <v>4</v>
      </c>
      <c r="F893" s="6">
        <v>14.02</v>
      </c>
      <c r="G893" s="4">
        <v>82.98</v>
      </c>
      <c r="H893" t="s">
        <v>925</v>
      </c>
      <c r="I893" t="s">
        <v>342</v>
      </c>
      <c r="J893" t="s">
        <v>2169</v>
      </c>
    </row>
    <row r="894" spans="1:10" x14ac:dyDescent="0.35">
      <c r="A894" t="s">
        <v>2170</v>
      </c>
      <c r="B894" t="s">
        <v>16</v>
      </c>
      <c r="C894" t="s">
        <v>17</v>
      </c>
      <c r="D894">
        <v>410.28</v>
      </c>
      <c r="E894">
        <v>5</v>
      </c>
      <c r="F894" s="6">
        <v>24.73</v>
      </c>
      <c r="G894" s="4">
        <v>19.45</v>
      </c>
      <c r="H894" t="s">
        <v>590</v>
      </c>
      <c r="I894" t="s">
        <v>600</v>
      </c>
      <c r="J894" t="s">
        <v>2171</v>
      </c>
    </row>
    <row r="895" spans="1:10" x14ac:dyDescent="0.35">
      <c r="A895" t="s">
        <v>2172</v>
      </c>
      <c r="B895" t="s">
        <v>42</v>
      </c>
      <c r="C895" t="s">
        <v>27</v>
      </c>
      <c r="D895">
        <v>245.85</v>
      </c>
      <c r="E895">
        <v>5</v>
      </c>
      <c r="F895" s="6">
        <v>49.49</v>
      </c>
      <c r="G895" s="4">
        <v>80.31</v>
      </c>
      <c r="H895" t="s">
        <v>466</v>
      </c>
      <c r="I895" t="s">
        <v>158</v>
      </c>
      <c r="J895" t="s">
        <v>2173</v>
      </c>
    </row>
    <row r="896" spans="1:10" x14ac:dyDescent="0.35">
      <c r="A896" t="s">
        <v>2174</v>
      </c>
      <c r="B896" t="s">
        <v>16</v>
      </c>
      <c r="C896" t="s">
        <v>22</v>
      </c>
      <c r="D896">
        <v>338.01</v>
      </c>
      <c r="E896">
        <v>4</v>
      </c>
      <c r="F896" s="6">
        <v>8.65</v>
      </c>
      <c r="G896" s="4">
        <v>88.46</v>
      </c>
      <c r="H896" t="s">
        <v>295</v>
      </c>
      <c r="I896" t="s">
        <v>380</v>
      </c>
      <c r="J896" t="s">
        <v>2175</v>
      </c>
    </row>
    <row r="897" spans="1:10" x14ac:dyDescent="0.35">
      <c r="A897" t="s">
        <v>2176</v>
      </c>
      <c r="B897" t="s">
        <v>10</v>
      </c>
      <c r="C897" t="s">
        <v>32</v>
      </c>
      <c r="D897">
        <v>351.55</v>
      </c>
      <c r="E897">
        <v>4</v>
      </c>
      <c r="F897" s="6">
        <v>29.29</v>
      </c>
      <c r="G897" s="4">
        <v>23.88</v>
      </c>
      <c r="H897" t="s">
        <v>758</v>
      </c>
      <c r="I897" t="s">
        <v>787</v>
      </c>
      <c r="J897" t="s">
        <v>2177</v>
      </c>
    </row>
    <row r="898" spans="1:10" x14ac:dyDescent="0.35">
      <c r="A898" t="s">
        <v>2178</v>
      </c>
      <c r="B898" t="s">
        <v>16</v>
      </c>
      <c r="C898" t="s">
        <v>47</v>
      </c>
      <c r="D898">
        <v>164.12</v>
      </c>
      <c r="E898">
        <v>3</v>
      </c>
      <c r="F898" s="6">
        <v>30.08</v>
      </c>
      <c r="G898" s="4">
        <v>91.19</v>
      </c>
      <c r="H898" t="s">
        <v>249</v>
      </c>
      <c r="I898" t="s">
        <v>1001</v>
      </c>
      <c r="J898" t="s">
        <v>2179</v>
      </c>
    </row>
    <row r="899" spans="1:10" x14ac:dyDescent="0.35">
      <c r="A899" t="s">
        <v>2180</v>
      </c>
      <c r="B899" t="s">
        <v>16</v>
      </c>
      <c r="C899" t="s">
        <v>11</v>
      </c>
      <c r="D899">
        <v>181.46</v>
      </c>
      <c r="E899">
        <v>4</v>
      </c>
      <c r="F899" s="6">
        <v>7.22</v>
      </c>
      <c r="G899" s="4">
        <v>43.81</v>
      </c>
      <c r="H899" t="s">
        <v>33</v>
      </c>
      <c r="I899" t="s">
        <v>1200</v>
      </c>
      <c r="J899" t="s">
        <v>2181</v>
      </c>
    </row>
    <row r="900" spans="1:10" x14ac:dyDescent="0.35">
      <c r="A900" t="s">
        <v>2182</v>
      </c>
      <c r="B900" t="s">
        <v>10</v>
      </c>
      <c r="C900" t="s">
        <v>61</v>
      </c>
      <c r="D900">
        <v>281.83999999999997</v>
      </c>
      <c r="E900">
        <v>5</v>
      </c>
      <c r="F900" s="6">
        <v>8.23</v>
      </c>
      <c r="G900" s="4">
        <v>10.37</v>
      </c>
      <c r="H900" t="s">
        <v>540</v>
      </c>
      <c r="I900" t="s">
        <v>1132</v>
      </c>
      <c r="J900" t="s">
        <v>2183</v>
      </c>
    </row>
    <row r="901" spans="1:10" x14ac:dyDescent="0.35">
      <c r="A901" t="s">
        <v>2184</v>
      </c>
      <c r="B901" t="s">
        <v>10</v>
      </c>
      <c r="C901" t="s">
        <v>27</v>
      </c>
      <c r="D901">
        <v>135.31</v>
      </c>
      <c r="E901">
        <v>4</v>
      </c>
      <c r="F901" s="6">
        <v>16.22</v>
      </c>
      <c r="G901" s="4">
        <v>43.14</v>
      </c>
      <c r="H901" t="s">
        <v>171</v>
      </c>
      <c r="I901" t="s">
        <v>1858</v>
      </c>
      <c r="J901" t="s">
        <v>2185</v>
      </c>
    </row>
    <row r="902" spans="1:10" x14ac:dyDescent="0.35">
      <c r="A902" t="s">
        <v>2186</v>
      </c>
      <c r="B902" t="s">
        <v>10</v>
      </c>
      <c r="C902" t="s">
        <v>47</v>
      </c>
      <c r="D902">
        <v>274.66000000000003</v>
      </c>
      <c r="E902">
        <v>3</v>
      </c>
      <c r="F902" s="6">
        <v>4.8600000000000003</v>
      </c>
      <c r="G902" s="4">
        <v>67.73</v>
      </c>
      <c r="H902" t="s">
        <v>581</v>
      </c>
      <c r="I902" t="s">
        <v>1152</v>
      </c>
      <c r="J902" t="s">
        <v>2187</v>
      </c>
    </row>
    <row r="903" spans="1:10" x14ac:dyDescent="0.35">
      <c r="A903" t="s">
        <v>2188</v>
      </c>
      <c r="B903" t="s">
        <v>16</v>
      </c>
      <c r="C903" t="s">
        <v>61</v>
      </c>
      <c r="D903">
        <v>193.82</v>
      </c>
      <c r="E903">
        <v>4</v>
      </c>
      <c r="F903" s="6">
        <v>39.520000000000003</v>
      </c>
      <c r="G903" s="4">
        <v>63.07</v>
      </c>
      <c r="H903" t="s">
        <v>651</v>
      </c>
      <c r="I903" t="s">
        <v>63</v>
      </c>
      <c r="J903" t="s">
        <v>2189</v>
      </c>
    </row>
    <row r="904" spans="1:10" x14ac:dyDescent="0.35">
      <c r="A904" t="s">
        <v>2190</v>
      </c>
      <c r="B904" t="s">
        <v>42</v>
      </c>
      <c r="C904" t="s">
        <v>22</v>
      </c>
      <c r="D904">
        <v>77.599999999999994</v>
      </c>
      <c r="E904">
        <v>4</v>
      </c>
      <c r="F904" s="6">
        <v>44.73</v>
      </c>
      <c r="G904" s="4">
        <v>17.32</v>
      </c>
      <c r="H904" t="s">
        <v>57</v>
      </c>
      <c r="I904" t="s">
        <v>90</v>
      </c>
      <c r="J904" t="s">
        <v>2191</v>
      </c>
    </row>
    <row r="905" spans="1:10" x14ac:dyDescent="0.35">
      <c r="A905" t="s">
        <v>2192</v>
      </c>
      <c r="B905" t="s">
        <v>42</v>
      </c>
      <c r="C905" t="s">
        <v>56</v>
      </c>
      <c r="D905">
        <v>104.41</v>
      </c>
      <c r="E905">
        <v>4</v>
      </c>
      <c r="F905" s="6">
        <v>9.6999999999999993</v>
      </c>
      <c r="G905" s="4">
        <v>87.66</v>
      </c>
      <c r="H905" t="s">
        <v>864</v>
      </c>
      <c r="I905" t="s">
        <v>739</v>
      </c>
      <c r="J905" t="s">
        <v>2193</v>
      </c>
    </row>
    <row r="906" spans="1:10" x14ac:dyDescent="0.35">
      <c r="A906" t="s">
        <v>2194</v>
      </c>
      <c r="B906" t="s">
        <v>10</v>
      </c>
      <c r="C906" t="s">
        <v>32</v>
      </c>
      <c r="D906">
        <v>211.5</v>
      </c>
      <c r="E906">
        <v>4</v>
      </c>
      <c r="F906" s="6">
        <v>34.21</v>
      </c>
      <c r="G906" s="4">
        <v>39.97</v>
      </c>
      <c r="H906" t="s">
        <v>1392</v>
      </c>
      <c r="I906" t="s">
        <v>300</v>
      </c>
      <c r="J906" t="s">
        <v>2195</v>
      </c>
    </row>
    <row r="907" spans="1:10" x14ac:dyDescent="0.35">
      <c r="A907" t="s">
        <v>2196</v>
      </c>
      <c r="B907" t="s">
        <v>10</v>
      </c>
      <c r="C907" t="s">
        <v>11</v>
      </c>
      <c r="D907">
        <v>157.09</v>
      </c>
      <c r="E907">
        <v>3</v>
      </c>
      <c r="F907" s="6">
        <v>48.89</v>
      </c>
      <c r="G907" s="4">
        <v>30.45</v>
      </c>
      <c r="H907" t="s">
        <v>109</v>
      </c>
      <c r="I907" t="s">
        <v>110</v>
      </c>
      <c r="J907" t="s">
        <v>2197</v>
      </c>
    </row>
    <row r="908" spans="1:10" x14ac:dyDescent="0.35">
      <c r="A908" t="s">
        <v>2198</v>
      </c>
      <c r="B908" t="s">
        <v>42</v>
      </c>
      <c r="C908" t="s">
        <v>17</v>
      </c>
      <c r="D908">
        <v>354.07</v>
      </c>
      <c r="E908">
        <v>4</v>
      </c>
      <c r="F908" s="6">
        <v>21.01</v>
      </c>
      <c r="G908" s="4">
        <v>10.220000000000001</v>
      </c>
      <c r="H908" t="s">
        <v>910</v>
      </c>
      <c r="I908" t="s">
        <v>1266</v>
      </c>
      <c r="J908" t="s">
        <v>2199</v>
      </c>
    </row>
    <row r="909" spans="1:10" x14ac:dyDescent="0.35">
      <c r="A909" t="s">
        <v>2200</v>
      </c>
      <c r="B909" t="s">
        <v>42</v>
      </c>
      <c r="C909" t="s">
        <v>32</v>
      </c>
      <c r="D909">
        <v>266.73</v>
      </c>
      <c r="E909">
        <v>3</v>
      </c>
      <c r="F909" s="6">
        <v>19.21</v>
      </c>
      <c r="G909" s="4">
        <v>74.53</v>
      </c>
      <c r="H909" t="s">
        <v>800</v>
      </c>
      <c r="I909" t="s">
        <v>292</v>
      </c>
      <c r="J909" t="s">
        <v>2201</v>
      </c>
    </row>
    <row r="910" spans="1:10" x14ac:dyDescent="0.35">
      <c r="A910" t="s">
        <v>2202</v>
      </c>
      <c r="B910" t="s">
        <v>42</v>
      </c>
      <c r="C910" t="s">
        <v>47</v>
      </c>
      <c r="D910">
        <v>188.52</v>
      </c>
      <c r="E910">
        <v>4</v>
      </c>
      <c r="F910" s="6">
        <v>9.77</v>
      </c>
      <c r="G910" s="4">
        <v>32.39</v>
      </c>
      <c r="H910" t="s">
        <v>549</v>
      </c>
      <c r="I910" t="s">
        <v>676</v>
      </c>
      <c r="J910" t="s">
        <v>2203</v>
      </c>
    </row>
    <row r="911" spans="1:10" x14ac:dyDescent="0.35">
      <c r="A911" t="s">
        <v>2204</v>
      </c>
      <c r="B911" t="s">
        <v>16</v>
      </c>
      <c r="C911" t="s">
        <v>89</v>
      </c>
      <c r="D911">
        <v>57.56</v>
      </c>
      <c r="E911">
        <v>5</v>
      </c>
      <c r="F911" s="6">
        <v>21.89</v>
      </c>
      <c r="G911" s="4">
        <v>53.56</v>
      </c>
      <c r="H911" t="s">
        <v>490</v>
      </c>
      <c r="I911" t="s">
        <v>380</v>
      </c>
      <c r="J911" t="s">
        <v>2205</v>
      </c>
    </row>
    <row r="912" spans="1:10" x14ac:dyDescent="0.35">
      <c r="A912" t="s">
        <v>2206</v>
      </c>
      <c r="B912" t="s">
        <v>10</v>
      </c>
      <c r="C912" t="s">
        <v>89</v>
      </c>
      <c r="D912">
        <v>297.2</v>
      </c>
      <c r="E912">
        <v>4</v>
      </c>
      <c r="F912" s="6">
        <v>37.29</v>
      </c>
      <c r="G912" s="4">
        <v>80.010000000000005</v>
      </c>
      <c r="H912" t="s">
        <v>241</v>
      </c>
      <c r="I912" t="s">
        <v>314</v>
      </c>
      <c r="J912" t="s">
        <v>2207</v>
      </c>
    </row>
    <row r="913" spans="1:10" x14ac:dyDescent="0.35">
      <c r="A913" t="s">
        <v>2208</v>
      </c>
      <c r="B913" t="s">
        <v>16</v>
      </c>
      <c r="C913" t="s">
        <v>11</v>
      </c>
      <c r="D913">
        <v>258.61</v>
      </c>
      <c r="E913">
        <v>5</v>
      </c>
      <c r="F913" s="6">
        <v>27.52</v>
      </c>
      <c r="G913" s="4">
        <v>67.8</v>
      </c>
      <c r="H913" t="s">
        <v>333</v>
      </c>
      <c r="I913" t="s">
        <v>1266</v>
      </c>
      <c r="J913" t="s">
        <v>2209</v>
      </c>
    </row>
    <row r="914" spans="1:10" x14ac:dyDescent="0.35">
      <c r="A914" t="s">
        <v>2210</v>
      </c>
      <c r="B914" t="s">
        <v>16</v>
      </c>
      <c r="C914" t="s">
        <v>61</v>
      </c>
      <c r="D914">
        <v>240.7</v>
      </c>
      <c r="E914">
        <v>5</v>
      </c>
      <c r="F914" s="6">
        <v>17.899999999999999</v>
      </c>
      <c r="G914" s="4">
        <v>46.92</v>
      </c>
      <c r="H914" t="s">
        <v>354</v>
      </c>
      <c r="I914" t="s">
        <v>355</v>
      </c>
      <c r="J914" t="s">
        <v>2211</v>
      </c>
    </row>
    <row r="915" spans="1:10" x14ac:dyDescent="0.35">
      <c r="A915" t="s">
        <v>2212</v>
      </c>
      <c r="B915" t="s">
        <v>16</v>
      </c>
      <c r="C915" t="s">
        <v>32</v>
      </c>
      <c r="D915">
        <v>329.04</v>
      </c>
      <c r="E915">
        <v>4</v>
      </c>
      <c r="F915" s="6">
        <v>40.36</v>
      </c>
      <c r="G915" s="4">
        <v>62.35</v>
      </c>
      <c r="H915" t="s">
        <v>90</v>
      </c>
      <c r="I915" t="s">
        <v>58</v>
      </c>
      <c r="J915" t="s">
        <v>2213</v>
      </c>
    </row>
    <row r="916" spans="1:10" x14ac:dyDescent="0.35">
      <c r="A916" t="s">
        <v>2214</v>
      </c>
      <c r="B916" t="s">
        <v>16</v>
      </c>
      <c r="C916" t="s">
        <v>61</v>
      </c>
      <c r="D916">
        <v>109.86</v>
      </c>
      <c r="E916">
        <v>3</v>
      </c>
      <c r="F916" s="6">
        <v>37.22</v>
      </c>
      <c r="G916" s="4">
        <v>76.569999999999993</v>
      </c>
      <c r="H916" t="s">
        <v>391</v>
      </c>
      <c r="I916" t="s">
        <v>500</v>
      </c>
      <c r="J916" t="s">
        <v>2215</v>
      </c>
    </row>
    <row r="917" spans="1:10" x14ac:dyDescent="0.35">
      <c r="A917" t="s">
        <v>2216</v>
      </c>
      <c r="B917" t="s">
        <v>16</v>
      </c>
      <c r="C917" t="s">
        <v>61</v>
      </c>
      <c r="D917">
        <v>313.56</v>
      </c>
      <c r="E917">
        <v>3</v>
      </c>
      <c r="F917" s="6">
        <v>24.24</v>
      </c>
      <c r="G917" s="4">
        <v>85.05</v>
      </c>
      <c r="H917" t="s">
        <v>978</v>
      </c>
      <c r="I917" t="s">
        <v>487</v>
      </c>
      <c r="J917" t="s">
        <v>2217</v>
      </c>
    </row>
    <row r="918" spans="1:10" x14ac:dyDescent="0.35">
      <c r="A918" t="s">
        <v>2218</v>
      </c>
      <c r="B918" t="s">
        <v>10</v>
      </c>
      <c r="C918" t="s">
        <v>22</v>
      </c>
      <c r="D918">
        <v>206.41</v>
      </c>
      <c r="E918">
        <v>5</v>
      </c>
      <c r="F918" s="6">
        <v>32.43</v>
      </c>
      <c r="G918" s="4">
        <v>80.239999999999995</v>
      </c>
      <c r="H918" t="s">
        <v>1522</v>
      </c>
      <c r="I918" t="s">
        <v>775</v>
      </c>
      <c r="J918" t="s">
        <v>2219</v>
      </c>
    </row>
    <row r="919" spans="1:10" x14ac:dyDescent="0.35">
      <c r="A919" t="s">
        <v>2220</v>
      </c>
      <c r="B919" t="s">
        <v>16</v>
      </c>
      <c r="C919" t="s">
        <v>56</v>
      </c>
      <c r="D919">
        <v>390.24</v>
      </c>
      <c r="E919">
        <v>3</v>
      </c>
      <c r="F919" s="6">
        <v>27.29</v>
      </c>
      <c r="G919" s="4">
        <v>20.66</v>
      </c>
      <c r="H919" t="s">
        <v>600</v>
      </c>
      <c r="I919" t="s">
        <v>917</v>
      </c>
      <c r="J919" t="s">
        <v>2221</v>
      </c>
    </row>
    <row r="920" spans="1:10" x14ac:dyDescent="0.35">
      <c r="A920" t="s">
        <v>2222</v>
      </c>
      <c r="B920" t="s">
        <v>16</v>
      </c>
      <c r="C920" t="s">
        <v>37</v>
      </c>
      <c r="D920">
        <v>473.55</v>
      </c>
      <c r="E920">
        <v>5</v>
      </c>
      <c r="F920" s="6">
        <v>46.94</v>
      </c>
      <c r="G920" s="4">
        <v>31.7</v>
      </c>
      <c r="H920" t="s">
        <v>730</v>
      </c>
      <c r="I920" t="s">
        <v>287</v>
      </c>
      <c r="J920" t="s">
        <v>2223</v>
      </c>
    </row>
    <row r="921" spans="1:10" x14ac:dyDescent="0.35">
      <c r="A921" t="s">
        <v>2224</v>
      </c>
      <c r="B921" t="s">
        <v>16</v>
      </c>
      <c r="C921" t="s">
        <v>47</v>
      </c>
      <c r="D921">
        <v>482.61</v>
      </c>
      <c r="E921">
        <v>5</v>
      </c>
      <c r="F921" s="6">
        <v>14.43</v>
      </c>
      <c r="G921" s="4">
        <v>55.09</v>
      </c>
      <c r="H921" t="s">
        <v>244</v>
      </c>
      <c r="I921" t="s">
        <v>546</v>
      </c>
      <c r="J921" t="s">
        <v>2225</v>
      </c>
    </row>
    <row r="922" spans="1:10" x14ac:dyDescent="0.35">
      <c r="A922" t="s">
        <v>2226</v>
      </c>
      <c r="B922" t="s">
        <v>42</v>
      </c>
      <c r="C922" t="s">
        <v>32</v>
      </c>
      <c r="D922">
        <v>396.11</v>
      </c>
      <c r="E922">
        <v>3</v>
      </c>
      <c r="F922" s="6">
        <v>8.94</v>
      </c>
      <c r="G922" s="4">
        <v>67.45</v>
      </c>
      <c r="H922" t="s">
        <v>639</v>
      </c>
      <c r="I922" t="s">
        <v>546</v>
      </c>
      <c r="J922" t="s">
        <v>2227</v>
      </c>
    </row>
    <row r="923" spans="1:10" x14ac:dyDescent="0.35">
      <c r="A923" t="s">
        <v>2228</v>
      </c>
      <c r="B923" t="s">
        <v>42</v>
      </c>
      <c r="C923" t="s">
        <v>56</v>
      </c>
      <c r="D923">
        <v>67.25</v>
      </c>
      <c r="E923">
        <v>5</v>
      </c>
      <c r="F923" s="6">
        <v>8.92</v>
      </c>
      <c r="G923" s="4">
        <v>43.59</v>
      </c>
      <c r="H923" t="s">
        <v>650</v>
      </c>
      <c r="I923" t="s">
        <v>739</v>
      </c>
      <c r="J923" t="s">
        <v>2229</v>
      </c>
    </row>
    <row r="924" spans="1:10" x14ac:dyDescent="0.35">
      <c r="A924" t="s">
        <v>2230</v>
      </c>
      <c r="B924" t="s">
        <v>10</v>
      </c>
      <c r="C924" t="s">
        <v>22</v>
      </c>
      <c r="D924">
        <v>398.48</v>
      </c>
      <c r="E924">
        <v>3</v>
      </c>
      <c r="F924" s="6">
        <v>39.770000000000003</v>
      </c>
      <c r="G924" s="4">
        <v>88.66</v>
      </c>
      <c r="H924" t="s">
        <v>513</v>
      </c>
      <c r="I924" t="s">
        <v>326</v>
      </c>
      <c r="J924" t="s">
        <v>2231</v>
      </c>
    </row>
    <row r="925" spans="1:10" x14ac:dyDescent="0.35">
      <c r="A925" t="s">
        <v>2232</v>
      </c>
      <c r="B925" t="s">
        <v>42</v>
      </c>
      <c r="C925" t="s">
        <v>11</v>
      </c>
      <c r="D925">
        <v>495.73</v>
      </c>
      <c r="E925">
        <v>3</v>
      </c>
      <c r="F925" s="6">
        <v>49.44</v>
      </c>
      <c r="G925" s="4">
        <v>21.1</v>
      </c>
      <c r="H925" t="s">
        <v>1300</v>
      </c>
      <c r="I925" t="s">
        <v>1301</v>
      </c>
      <c r="J925" t="s">
        <v>2233</v>
      </c>
    </row>
    <row r="926" spans="1:10" x14ac:dyDescent="0.35">
      <c r="A926" t="s">
        <v>2234</v>
      </c>
      <c r="B926" t="s">
        <v>42</v>
      </c>
      <c r="C926" t="s">
        <v>56</v>
      </c>
      <c r="D926">
        <v>79.67</v>
      </c>
      <c r="E926">
        <v>4</v>
      </c>
      <c r="F926" s="6">
        <v>47.44</v>
      </c>
      <c r="G926" s="4">
        <v>91.38</v>
      </c>
      <c r="H926" t="s">
        <v>1998</v>
      </c>
      <c r="I926" t="s">
        <v>44</v>
      </c>
      <c r="J926" t="s">
        <v>2235</v>
      </c>
    </row>
    <row r="927" spans="1:10" x14ac:dyDescent="0.35">
      <c r="A927" t="s">
        <v>2236</v>
      </c>
      <c r="B927" t="s">
        <v>16</v>
      </c>
      <c r="C927" t="s">
        <v>89</v>
      </c>
      <c r="D927">
        <v>324.41000000000003</v>
      </c>
      <c r="E927">
        <v>5</v>
      </c>
      <c r="F927" s="6">
        <v>22.94</v>
      </c>
      <c r="G927" s="4">
        <v>53.24</v>
      </c>
      <c r="H927" t="s">
        <v>217</v>
      </c>
      <c r="I927" t="s">
        <v>155</v>
      </c>
      <c r="J927" t="s">
        <v>2237</v>
      </c>
    </row>
    <row r="928" spans="1:10" x14ac:dyDescent="0.35">
      <c r="A928" t="s">
        <v>2238</v>
      </c>
      <c r="B928" t="s">
        <v>42</v>
      </c>
      <c r="C928" t="s">
        <v>61</v>
      </c>
      <c r="D928">
        <v>347.42</v>
      </c>
      <c r="E928">
        <v>4</v>
      </c>
      <c r="F928" s="6">
        <v>15.59</v>
      </c>
      <c r="G928" s="4">
        <v>52.1</v>
      </c>
      <c r="H928" t="s">
        <v>2239</v>
      </c>
      <c r="I928" t="s">
        <v>739</v>
      </c>
      <c r="J928" t="s">
        <v>2240</v>
      </c>
    </row>
    <row r="929" spans="1:10" x14ac:dyDescent="0.35">
      <c r="A929" t="s">
        <v>2241</v>
      </c>
      <c r="B929" t="s">
        <v>10</v>
      </c>
      <c r="C929" t="s">
        <v>11</v>
      </c>
      <c r="D929">
        <v>138.13999999999999</v>
      </c>
      <c r="E929">
        <v>5</v>
      </c>
      <c r="F929" s="6">
        <v>22.02</v>
      </c>
      <c r="G929" s="4">
        <v>31.66</v>
      </c>
      <c r="H929" t="s">
        <v>291</v>
      </c>
      <c r="I929" t="s">
        <v>351</v>
      </c>
      <c r="J929" t="s">
        <v>2242</v>
      </c>
    </row>
    <row r="930" spans="1:10" x14ac:dyDescent="0.35">
      <c r="A930" t="s">
        <v>2243</v>
      </c>
      <c r="B930" t="s">
        <v>42</v>
      </c>
      <c r="C930" t="s">
        <v>61</v>
      </c>
      <c r="D930">
        <v>214.89</v>
      </c>
      <c r="E930">
        <v>4</v>
      </c>
      <c r="F930" s="6">
        <v>2.09</v>
      </c>
      <c r="G930" s="4">
        <v>32.96</v>
      </c>
      <c r="H930" t="s">
        <v>466</v>
      </c>
      <c r="I930" t="s">
        <v>634</v>
      </c>
      <c r="J930" t="s">
        <v>2244</v>
      </c>
    </row>
    <row r="931" spans="1:10" x14ac:dyDescent="0.35">
      <c r="A931" t="s">
        <v>2245</v>
      </c>
      <c r="B931" t="s">
        <v>42</v>
      </c>
      <c r="C931" t="s">
        <v>11</v>
      </c>
      <c r="D931">
        <v>243.37</v>
      </c>
      <c r="E931">
        <v>5</v>
      </c>
      <c r="F931" s="6">
        <v>14.99</v>
      </c>
      <c r="G931" s="4">
        <v>36.200000000000003</v>
      </c>
      <c r="H931" t="s">
        <v>1197</v>
      </c>
      <c r="I931" t="s">
        <v>928</v>
      </c>
      <c r="J931" t="s">
        <v>2246</v>
      </c>
    </row>
    <row r="932" spans="1:10" x14ac:dyDescent="0.35">
      <c r="A932" t="s">
        <v>2247</v>
      </c>
      <c r="B932" t="s">
        <v>16</v>
      </c>
      <c r="C932" t="s">
        <v>17</v>
      </c>
      <c r="D932">
        <v>193.67</v>
      </c>
      <c r="E932">
        <v>5</v>
      </c>
      <c r="F932" s="6">
        <v>33.17</v>
      </c>
      <c r="G932" s="4">
        <v>24.7</v>
      </c>
      <c r="H932" t="s">
        <v>315</v>
      </c>
      <c r="I932" t="s">
        <v>263</v>
      </c>
      <c r="J932" t="s">
        <v>2248</v>
      </c>
    </row>
    <row r="933" spans="1:10" x14ac:dyDescent="0.35">
      <c r="A933" t="s">
        <v>2249</v>
      </c>
      <c r="B933" t="s">
        <v>16</v>
      </c>
      <c r="C933" t="s">
        <v>27</v>
      </c>
      <c r="D933">
        <v>106.53</v>
      </c>
      <c r="E933">
        <v>5</v>
      </c>
      <c r="F933" s="6">
        <v>36.51</v>
      </c>
      <c r="G933" s="4">
        <v>85.32</v>
      </c>
      <c r="H933" t="s">
        <v>898</v>
      </c>
      <c r="I933" t="s">
        <v>359</v>
      </c>
      <c r="J933" t="s">
        <v>2250</v>
      </c>
    </row>
    <row r="934" spans="1:10" x14ac:dyDescent="0.35">
      <c r="A934" t="s">
        <v>2251</v>
      </c>
      <c r="B934" t="s">
        <v>42</v>
      </c>
      <c r="C934" t="s">
        <v>32</v>
      </c>
      <c r="D934">
        <v>202.16</v>
      </c>
      <c r="E934">
        <v>4</v>
      </c>
      <c r="F934" s="6">
        <v>35.28</v>
      </c>
      <c r="G934" s="4">
        <v>29.03</v>
      </c>
      <c r="H934" t="s">
        <v>202</v>
      </c>
      <c r="I934" t="s">
        <v>175</v>
      </c>
      <c r="J934" t="s">
        <v>2252</v>
      </c>
    </row>
    <row r="935" spans="1:10" x14ac:dyDescent="0.35">
      <c r="A935" t="s">
        <v>2253</v>
      </c>
      <c r="B935" t="s">
        <v>16</v>
      </c>
      <c r="C935" t="s">
        <v>32</v>
      </c>
      <c r="D935">
        <v>312.54000000000002</v>
      </c>
      <c r="E935">
        <v>3</v>
      </c>
      <c r="F935" s="6">
        <v>29.16</v>
      </c>
      <c r="G935" s="4">
        <v>66.650000000000006</v>
      </c>
      <c r="H935" t="s">
        <v>925</v>
      </c>
      <c r="I935" t="s">
        <v>1192</v>
      </c>
      <c r="J935" t="s">
        <v>2254</v>
      </c>
    </row>
    <row r="936" spans="1:10" x14ac:dyDescent="0.35">
      <c r="A936" t="s">
        <v>2255</v>
      </c>
      <c r="B936" t="s">
        <v>42</v>
      </c>
      <c r="C936" t="s">
        <v>27</v>
      </c>
      <c r="D936">
        <v>273.19</v>
      </c>
      <c r="E936">
        <v>3</v>
      </c>
      <c r="F936" s="6">
        <v>32.159999999999997</v>
      </c>
      <c r="G936" s="4">
        <v>84.99</v>
      </c>
      <c r="H936" t="s">
        <v>43</v>
      </c>
      <c r="I936" t="s">
        <v>44</v>
      </c>
      <c r="J936" t="s">
        <v>2256</v>
      </c>
    </row>
    <row r="937" spans="1:10" x14ac:dyDescent="0.35">
      <c r="A937" t="s">
        <v>2257</v>
      </c>
      <c r="B937" t="s">
        <v>42</v>
      </c>
      <c r="C937" t="s">
        <v>47</v>
      </c>
      <c r="D937">
        <v>93.2</v>
      </c>
      <c r="E937">
        <v>4</v>
      </c>
      <c r="F937" s="6">
        <v>30.34</v>
      </c>
      <c r="G937" s="4">
        <v>44.1</v>
      </c>
      <c r="H937" t="s">
        <v>1474</v>
      </c>
      <c r="I937" t="s">
        <v>337</v>
      </c>
      <c r="J937" t="s">
        <v>2258</v>
      </c>
    </row>
    <row r="938" spans="1:10" x14ac:dyDescent="0.35">
      <c r="A938" t="s">
        <v>2259</v>
      </c>
      <c r="B938" t="s">
        <v>16</v>
      </c>
      <c r="C938" t="s">
        <v>37</v>
      </c>
      <c r="D938">
        <v>158.76</v>
      </c>
      <c r="E938">
        <v>5</v>
      </c>
      <c r="F938" s="6">
        <v>14.93</v>
      </c>
      <c r="G938" s="4">
        <v>84.21</v>
      </c>
      <c r="H938" t="s">
        <v>739</v>
      </c>
      <c r="I938" t="s">
        <v>348</v>
      </c>
      <c r="J938" t="s">
        <v>2260</v>
      </c>
    </row>
    <row r="939" spans="1:10" x14ac:dyDescent="0.35">
      <c r="A939" t="s">
        <v>2261</v>
      </c>
      <c r="B939" t="s">
        <v>16</v>
      </c>
      <c r="C939" t="s">
        <v>27</v>
      </c>
      <c r="D939">
        <v>256.60000000000002</v>
      </c>
      <c r="E939">
        <v>5</v>
      </c>
      <c r="F939" s="6">
        <v>42.49</v>
      </c>
      <c r="G939" s="4">
        <v>81.25</v>
      </c>
      <c r="H939" t="s">
        <v>988</v>
      </c>
      <c r="I939" t="s">
        <v>1679</v>
      </c>
      <c r="J939" t="s">
        <v>2262</v>
      </c>
    </row>
    <row r="940" spans="1:10" x14ac:dyDescent="0.35">
      <c r="A940" t="s">
        <v>2263</v>
      </c>
      <c r="B940" t="s">
        <v>16</v>
      </c>
      <c r="C940" t="s">
        <v>11</v>
      </c>
      <c r="D940">
        <v>238.59</v>
      </c>
      <c r="E940">
        <v>4</v>
      </c>
      <c r="F940" s="6">
        <v>24.48</v>
      </c>
      <c r="G940" s="4">
        <v>66.56</v>
      </c>
      <c r="H940" t="s">
        <v>516</v>
      </c>
      <c r="I940" t="s">
        <v>1252</v>
      </c>
      <c r="J940" t="s">
        <v>2264</v>
      </c>
    </row>
    <row r="941" spans="1:10" x14ac:dyDescent="0.35">
      <c r="A941" t="s">
        <v>2265</v>
      </c>
      <c r="B941" t="s">
        <v>16</v>
      </c>
      <c r="C941" t="s">
        <v>61</v>
      </c>
      <c r="D941">
        <v>483.34</v>
      </c>
      <c r="E941">
        <v>5</v>
      </c>
      <c r="F941" s="6">
        <v>21.61</v>
      </c>
      <c r="G941" s="4">
        <v>47.85</v>
      </c>
      <c r="H941" t="s">
        <v>750</v>
      </c>
      <c r="I941" t="s">
        <v>1152</v>
      </c>
      <c r="J941" t="s">
        <v>2266</v>
      </c>
    </row>
    <row r="942" spans="1:10" x14ac:dyDescent="0.35">
      <c r="A942" t="s">
        <v>2267</v>
      </c>
      <c r="B942" t="s">
        <v>16</v>
      </c>
      <c r="C942" t="s">
        <v>56</v>
      </c>
      <c r="D942">
        <v>313.92</v>
      </c>
      <c r="E942">
        <v>4</v>
      </c>
      <c r="F942" s="6">
        <v>14.21</v>
      </c>
      <c r="G942" s="4">
        <v>44.86</v>
      </c>
      <c r="H942" t="s">
        <v>217</v>
      </c>
      <c r="I942" t="s">
        <v>1805</v>
      </c>
      <c r="J942" t="s">
        <v>2268</v>
      </c>
    </row>
    <row r="943" spans="1:10" x14ac:dyDescent="0.35">
      <c r="A943" t="s">
        <v>2269</v>
      </c>
      <c r="B943" t="s">
        <v>16</v>
      </c>
      <c r="C943" t="s">
        <v>27</v>
      </c>
      <c r="D943">
        <v>392.69</v>
      </c>
      <c r="E943">
        <v>4</v>
      </c>
      <c r="F943" s="6">
        <v>22.74</v>
      </c>
      <c r="G943" s="4">
        <v>27.87</v>
      </c>
      <c r="H943" t="s">
        <v>48</v>
      </c>
      <c r="I943" t="s">
        <v>780</v>
      </c>
      <c r="J943" t="s">
        <v>2270</v>
      </c>
    </row>
    <row r="944" spans="1:10" x14ac:dyDescent="0.35">
      <c r="A944" t="s">
        <v>2271</v>
      </c>
      <c r="B944" t="s">
        <v>16</v>
      </c>
      <c r="C944" t="s">
        <v>47</v>
      </c>
      <c r="D944">
        <v>229.58</v>
      </c>
      <c r="E944">
        <v>3</v>
      </c>
      <c r="F944" s="6">
        <v>22.95</v>
      </c>
      <c r="G944" s="4">
        <v>93.91</v>
      </c>
      <c r="H944" t="s">
        <v>910</v>
      </c>
      <c r="I944" t="s">
        <v>666</v>
      </c>
      <c r="J944" t="s">
        <v>2272</v>
      </c>
    </row>
    <row r="945" spans="1:10" x14ac:dyDescent="0.35">
      <c r="A945" t="s">
        <v>2273</v>
      </c>
      <c r="B945" t="s">
        <v>42</v>
      </c>
      <c r="C945" t="s">
        <v>32</v>
      </c>
      <c r="D945">
        <v>258.51</v>
      </c>
      <c r="E945">
        <v>3</v>
      </c>
      <c r="F945" s="6">
        <v>23.83</v>
      </c>
      <c r="G945" s="4">
        <v>87.04</v>
      </c>
      <c r="H945" t="s">
        <v>252</v>
      </c>
      <c r="I945" t="s">
        <v>57</v>
      </c>
      <c r="J945" t="s">
        <v>2274</v>
      </c>
    </row>
    <row r="946" spans="1:10" x14ac:dyDescent="0.35">
      <c r="A946" t="s">
        <v>2275</v>
      </c>
      <c r="B946" t="s">
        <v>42</v>
      </c>
      <c r="C946" t="s">
        <v>37</v>
      </c>
      <c r="D946">
        <v>329.11</v>
      </c>
      <c r="E946">
        <v>3</v>
      </c>
      <c r="F946" s="6">
        <v>30.01</v>
      </c>
      <c r="G946" s="4">
        <v>34.200000000000003</v>
      </c>
      <c r="H946" t="s">
        <v>53</v>
      </c>
      <c r="I946" t="s">
        <v>586</v>
      </c>
      <c r="J946" t="s">
        <v>2276</v>
      </c>
    </row>
    <row r="947" spans="1:10" x14ac:dyDescent="0.35">
      <c r="A947" t="s">
        <v>2277</v>
      </c>
      <c r="B947" t="s">
        <v>42</v>
      </c>
      <c r="C947" t="s">
        <v>27</v>
      </c>
      <c r="D947">
        <v>401.51</v>
      </c>
      <c r="E947">
        <v>3</v>
      </c>
      <c r="F947" s="6">
        <v>6.47</v>
      </c>
      <c r="G947" s="4">
        <v>99.9</v>
      </c>
      <c r="H947" t="s">
        <v>438</v>
      </c>
      <c r="I947" t="s">
        <v>280</v>
      </c>
      <c r="J947" t="s">
        <v>2278</v>
      </c>
    </row>
    <row r="948" spans="1:10" x14ac:dyDescent="0.35">
      <c r="A948" t="s">
        <v>2279</v>
      </c>
      <c r="B948" t="s">
        <v>42</v>
      </c>
      <c r="C948" t="s">
        <v>61</v>
      </c>
      <c r="D948">
        <v>144.6</v>
      </c>
      <c r="E948">
        <v>3</v>
      </c>
      <c r="F948" s="6">
        <v>25.67</v>
      </c>
      <c r="G948" s="4">
        <v>94.07</v>
      </c>
      <c r="H948" t="s">
        <v>143</v>
      </c>
      <c r="I948" t="s">
        <v>757</v>
      </c>
      <c r="J948" t="s">
        <v>2280</v>
      </c>
    </row>
    <row r="949" spans="1:10" x14ac:dyDescent="0.35">
      <c r="A949" t="s">
        <v>2281</v>
      </c>
      <c r="B949" t="s">
        <v>10</v>
      </c>
      <c r="C949" t="s">
        <v>32</v>
      </c>
      <c r="D949">
        <v>169.65</v>
      </c>
      <c r="E949">
        <v>5</v>
      </c>
      <c r="F949" s="6">
        <v>42.7</v>
      </c>
      <c r="G949" s="4">
        <v>25.65</v>
      </c>
      <c r="H949" t="s">
        <v>147</v>
      </c>
      <c r="I949" t="s">
        <v>945</v>
      </c>
      <c r="J949" t="s">
        <v>2282</v>
      </c>
    </row>
    <row r="950" spans="1:10" x14ac:dyDescent="0.35">
      <c r="A950" t="s">
        <v>2283</v>
      </c>
      <c r="B950" t="s">
        <v>16</v>
      </c>
      <c r="C950" t="s">
        <v>11</v>
      </c>
      <c r="D950">
        <v>299.37</v>
      </c>
      <c r="E950">
        <v>4</v>
      </c>
      <c r="F950" s="6">
        <v>7.66</v>
      </c>
      <c r="G950" s="4">
        <v>31.25</v>
      </c>
      <c r="H950" t="s">
        <v>420</v>
      </c>
      <c r="I950" t="s">
        <v>590</v>
      </c>
      <c r="J950" t="s">
        <v>2284</v>
      </c>
    </row>
    <row r="951" spans="1:10" x14ac:dyDescent="0.35">
      <c r="A951" t="s">
        <v>2285</v>
      </c>
      <c r="B951" t="s">
        <v>16</v>
      </c>
      <c r="C951" t="s">
        <v>27</v>
      </c>
      <c r="D951">
        <v>169.09</v>
      </c>
      <c r="E951">
        <v>3</v>
      </c>
      <c r="F951" s="6">
        <v>47.17</v>
      </c>
      <c r="G951" s="4">
        <v>24.16</v>
      </c>
      <c r="H951" t="s">
        <v>224</v>
      </c>
      <c r="I951" t="s">
        <v>1300</v>
      </c>
      <c r="J951" t="s">
        <v>2286</v>
      </c>
    </row>
    <row r="952" spans="1:10" x14ac:dyDescent="0.35">
      <c r="A952" t="s">
        <v>2287</v>
      </c>
      <c r="B952" t="s">
        <v>42</v>
      </c>
      <c r="C952" t="s">
        <v>22</v>
      </c>
      <c r="D952">
        <v>381.08</v>
      </c>
      <c r="E952">
        <v>4</v>
      </c>
      <c r="F952" s="6">
        <v>43.65</v>
      </c>
      <c r="G952" s="4">
        <v>83.3</v>
      </c>
      <c r="H952" t="s">
        <v>175</v>
      </c>
      <c r="I952" t="s">
        <v>113</v>
      </c>
      <c r="J952" t="s">
        <v>2288</v>
      </c>
    </row>
    <row r="953" spans="1:10" x14ac:dyDescent="0.35">
      <c r="A953" t="s">
        <v>2289</v>
      </c>
      <c r="B953" t="s">
        <v>42</v>
      </c>
      <c r="C953" t="s">
        <v>17</v>
      </c>
      <c r="D953">
        <v>244.45</v>
      </c>
      <c r="E953">
        <v>4</v>
      </c>
      <c r="F953" s="6">
        <v>44.6</v>
      </c>
      <c r="G953" s="4">
        <v>92.55</v>
      </c>
      <c r="H953" t="s">
        <v>493</v>
      </c>
      <c r="I953" t="s">
        <v>639</v>
      </c>
      <c r="J953" t="s">
        <v>2290</v>
      </c>
    </row>
    <row r="954" spans="1:10" x14ac:dyDescent="0.35">
      <c r="A954" t="s">
        <v>2291</v>
      </c>
      <c r="B954" t="s">
        <v>16</v>
      </c>
      <c r="C954" t="s">
        <v>11</v>
      </c>
      <c r="D954">
        <v>277.52</v>
      </c>
      <c r="E954">
        <v>4</v>
      </c>
      <c r="F954" s="6">
        <v>28.52</v>
      </c>
      <c r="G954" s="4">
        <v>39.19</v>
      </c>
      <c r="H954" t="s">
        <v>391</v>
      </c>
      <c r="I954" t="s">
        <v>768</v>
      </c>
      <c r="J954" t="s">
        <v>2292</v>
      </c>
    </row>
    <row r="955" spans="1:10" x14ac:dyDescent="0.35">
      <c r="A955" t="s">
        <v>2293</v>
      </c>
      <c r="B955" t="s">
        <v>10</v>
      </c>
      <c r="C955" t="s">
        <v>56</v>
      </c>
      <c r="D955">
        <v>130.44999999999999</v>
      </c>
      <c r="E955">
        <v>3</v>
      </c>
      <c r="F955" s="6">
        <v>22.73</v>
      </c>
      <c r="G955" s="4">
        <v>38.729999999999997</v>
      </c>
      <c r="H955" t="s">
        <v>1552</v>
      </c>
      <c r="I955" t="s">
        <v>1178</v>
      </c>
      <c r="J955" t="s">
        <v>2294</v>
      </c>
    </row>
    <row r="956" spans="1:10" x14ac:dyDescent="0.35">
      <c r="A956" t="s">
        <v>2295</v>
      </c>
      <c r="B956" t="s">
        <v>10</v>
      </c>
      <c r="C956" t="s">
        <v>47</v>
      </c>
      <c r="D956">
        <v>213.49</v>
      </c>
      <c r="E956">
        <v>5</v>
      </c>
      <c r="F956" s="6">
        <v>37.08</v>
      </c>
      <c r="G956" s="4">
        <v>71.83</v>
      </c>
      <c r="H956" t="s">
        <v>404</v>
      </c>
      <c r="I956" t="s">
        <v>405</v>
      </c>
      <c r="J956" t="s">
        <v>2296</v>
      </c>
    </row>
    <row r="957" spans="1:10" x14ac:dyDescent="0.35">
      <c r="A957" t="s">
        <v>2297</v>
      </c>
      <c r="B957" t="s">
        <v>16</v>
      </c>
      <c r="C957" t="s">
        <v>56</v>
      </c>
      <c r="D957">
        <v>235.53</v>
      </c>
      <c r="E957">
        <v>4</v>
      </c>
      <c r="F957" s="6">
        <v>44.49</v>
      </c>
      <c r="G957" s="4">
        <v>39.090000000000003</v>
      </c>
      <c r="H957" t="s">
        <v>280</v>
      </c>
      <c r="I957" t="s">
        <v>792</v>
      </c>
      <c r="J957" t="s">
        <v>2298</v>
      </c>
    </row>
    <row r="958" spans="1:10" x14ac:dyDescent="0.35">
      <c r="A958" t="s">
        <v>2299</v>
      </c>
      <c r="B958" t="s">
        <v>42</v>
      </c>
      <c r="C958" t="s">
        <v>22</v>
      </c>
      <c r="D958">
        <v>310.12</v>
      </c>
      <c r="E958">
        <v>4</v>
      </c>
      <c r="F958" s="6">
        <v>9.5</v>
      </c>
      <c r="G958" s="4">
        <v>23.1</v>
      </c>
      <c r="H958" t="s">
        <v>323</v>
      </c>
      <c r="I958" t="s">
        <v>308</v>
      </c>
      <c r="J958" t="s">
        <v>2300</v>
      </c>
    </row>
    <row r="959" spans="1:10" x14ac:dyDescent="0.35">
      <c r="A959" t="s">
        <v>2301</v>
      </c>
      <c r="B959" t="s">
        <v>10</v>
      </c>
      <c r="C959" t="s">
        <v>56</v>
      </c>
      <c r="D959">
        <v>157.66999999999999</v>
      </c>
      <c r="E959">
        <v>3</v>
      </c>
      <c r="F959" s="6">
        <v>34.01</v>
      </c>
      <c r="G959" s="4">
        <v>14.84</v>
      </c>
      <c r="H959" t="s">
        <v>466</v>
      </c>
      <c r="I959" t="s">
        <v>856</v>
      </c>
      <c r="J959" t="s">
        <v>2302</v>
      </c>
    </row>
    <row r="960" spans="1:10" x14ac:dyDescent="0.35">
      <c r="A960" t="s">
        <v>2303</v>
      </c>
      <c r="B960" t="s">
        <v>42</v>
      </c>
      <c r="C960" t="s">
        <v>89</v>
      </c>
      <c r="D960">
        <v>204.12</v>
      </c>
      <c r="E960">
        <v>4</v>
      </c>
      <c r="F960" s="6">
        <v>39.950000000000003</v>
      </c>
      <c r="G960" s="4">
        <v>99.59</v>
      </c>
      <c r="H960" t="s">
        <v>522</v>
      </c>
      <c r="I960" t="s">
        <v>280</v>
      </c>
      <c r="J960" t="s">
        <v>2304</v>
      </c>
    </row>
    <row r="961" spans="1:10" x14ac:dyDescent="0.35">
      <c r="A961" t="s">
        <v>2305</v>
      </c>
      <c r="B961" t="s">
        <v>42</v>
      </c>
      <c r="C961" t="s">
        <v>17</v>
      </c>
      <c r="D961">
        <v>288.44</v>
      </c>
      <c r="E961">
        <v>4</v>
      </c>
      <c r="F961" s="6">
        <v>16.75</v>
      </c>
      <c r="G961" s="4">
        <v>65.03</v>
      </c>
      <c r="H961" t="s">
        <v>1243</v>
      </c>
      <c r="I961" t="s">
        <v>318</v>
      </c>
      <c r="J961" t="s">
        <v>2306</v>
      </c>
    </row>
    <row r="962" spans="1:10" x14ac:dyDescent="0.35">
      <c r="A962" t="s">
        <v>2307</v>
      </c>
      <c r="B962" t="s">
        <v>42</v>
      </c>
      <c r="C962" t="s">
        <v>22</v>
      </c>
      <c r="D962">
        <v>236.2</v>
      </c>
      <c r="E962">
        <v>4</v>
      </c>
      <c r="F962" s="6">
        <v>48.67</v>
      </c>
      <c r="G962" s="4">
        <v>93</v>
      </c>
      <c r="H962" t="s">
        <v>459</v>
      </c>
      <c r="I962" t="s">
        <v>1010</v>
      </c>
      <c r="J962" t="s">
        <v>2308</v>
      </c>
    </row>
    <row r="963" spans="1:10" x14ac:dyDescent="0.35">
      <c r="A963" t="s">
        <v>2309</v>
      </c>
      <c r="B963" t="s">
        <v>16</v>
      </c>
      <c r="C963" t="s">
        <v>37</v>
      </c>
      <c r="D963">
        <v>170.98</v>
      </c>
      <c r="E963">
        <v>5</v>
      </c>
      <c r="F963" s="6">
        <v>12.51</v>
      </c>
      <c r="G963" s="4">
        <v>60.95</v>
      </c>
      <c r="H963" t="s">
        <v>380</v>
      </c>
      <c r="I963" t="s">
        <v>561</v>
      </c>
      <c r="J963" t="s">
        <v>2310</v>
      </c>
    </row>
    <row r="964" spans="1:10" x14ac:dyDescent="0.35">
      <c r="A964" t="s">
        <v>2311</v>
      </c>
      <c r="B964" t="s">
        <v>16</v>
      </c>
      <c r="C964" t="s">
        <v>89</v>
      </c>
      <c r="D964">
        <v>143.09</v>
      </c>
      <c r="E964">
        <v>5</v>
      </c>
      <c r="F964" s="6">
        <v>0.22</v>
      </c>
      <c r="G964" s="4">
        <v>39.159999999999997</v>
      </c>
      <c r="H964" t="s">
        <v>673</v>
      </c>
      <c r="I964" t="s">
        <v>314</v>
      </c>
      <c r="J964" t="s">
        <v>2312</v>
      </c>
    </row>
    <row r="965" spans="1:10" x14ac:dyDescent="0.35">
      <c r="A965" t="s">
        <v>2313</v>
      </c>
      <c r="B965" t="s">
        <v>10</v>
      </c>
      <c r="C965" t="s">
        <v>11</v>
      </c>
      <c r="D965">
        <v>375.37</v>
      </c>
      <c r="E965">
        <v>5</v>
      </c>
      <c r="F965" s="6">
        <v>41.15</v>
      </c>
      <c r="G965" s="4">
        <v>86.65</v>
      </c>
      <c r="H965" t="s">
        <v>1387</v>
      </c>
      <c r="I965" t="s">
        <v>43</v>
      </c>
      <c r="J965" t="s">
        <v>2314</v>
      </c>
    </row>
    <row r="966" spans="1:10" x14ac:dyDescent="0.35">
      <c r="A966" t="s">
        <v>2315</v>
      </c>
      <c r="B966" t="s">
        <v>42</v>
      </c>
      <c r="C966" t="s">
        <v>61</v>
      </c>
      <c r="D966">
        <v>386.66</v>
      </c>
      <c r="E966">
        <v>5</v>
      </c>
      <c r="F966" s="6">
        <v>22.37</v>
      </c>
      <c r="G966" s="4">
        <v>20.440000000000001</v>
      </c>
      <c r="H966" t="s">
        <v>745</v>
      </c>
      <c r="I966" t="s">
        <v>221</v>
      </c>
      <c r="J966" t="s">
        <v>2316</v>
      </c>
    </row>
    <row r="967" spans="1:10" x14ac:dyDescent="0.35">
      <c r="A967" t="s">
        <v>2317</v>
      </c>
      <c r="B967" t="s">
        <v>16</v>
      </c>
      <c r="C967" t="s">
        <v>22</v>
      </c>
      <c r="D967">
        <v>285.24</v>
      </c>
      <c r="E967">
        <v>3</v>
      </c>
      <c r="F967" s="6">
        <v>7.59</v>
      </c>
      <c r="G967" s="4">
        <v>19.12</v>
      </c>
      <c r="H967" t="s">
        <v>898</v>
      </c>
      <c r="I967" t="s">
        <v>359</v>
      </c>
      <c r="J967" t="s">
        <v>2318</v>
      </c>
    </row>
    <row r="968" spans="1:10" x14ac:dyDescent="0.35">
      <c r="A968" t="s">
        <v>2319</v>
      </c>
      <c r="B968" t="s">
        <v>10</v>
      </c>
      <c r="C968" t="s">
        <v>47</v>
      </c>
      <c r="D968">
        <v>255.48</v>
      </c>
      <c r="E968">
        <v>4</v>
      </c>
      <c r="F968" s="6">
        <v>25.49</v>
      </c>
      <c r="G968" s="4">
        <v>63.09</v>
      </c>
      <c r="H968" t="s">
        <v>739</v>
      </c>
      <c r="I968" t="s">
        <v>1418</v>
      </c>
      <c r="J968" t="s">
        <v>2320</v>
      </c>
    </row>
    <row r="969" spans="1:10" x14ac:dyDescent="0.35">
      <c r="A969" t="s">
        <v>2321</v>
      </c>
      <c r="B969" t="s">
        <v>10</v>
      </c>
      <c r="C969" t="s">
        <v>27</v>
      </c>
      <c r="D969">
        <v>50.86</v>
      </c>
      <c r="E969">
        <v>3</v>
      </c>
      <c r="F969" s="6">
        <v>3.04</v>
      </c>
      <c r="G969" s="4">
        <v>86.27</v>
      </c>
      <c r="H969" t="s">
        <v>717</v>
      </c>
      <c r="I969" t="s">
        <v>401</v>
      </c>
      <c r="J969" t="s">
        <v>2322</v>
      </c>
    </row>
    <row r="970" spans="1:10" x14ac:dyDescent="0.35">
      <c r="A970" t="s">
        <v>2323</v>
      </c>
      <c r="B970" t="s">
        <v>16</v>
      </c>
      <c r="C970" t="s">
        <v>56</v>
      </c>
      <c r="D970">
        <v>184.57</v>
      </c>
      <c r="E970">
        <v>5</v>
      </c>
      <c r="F970" s="6">
        <v>25.46</v>
      </c>
      <c r="G970" s="4">
        <v>23.15</v>
      </c>
      <c r="H970" t="s">
        <v>522</v>
      </c>
      <c r="I970" t="s">
        <v>79</v>
      </c>
      <c r="J970" t="s">
        <v>2324</v>
      </c>
    </row>
    <row r="971" spans="1:10" x14ac:dyDescent="0.35">
      <c r="A971" t="s">
        <v>2325</v>
      </c>
      <c r="B971" t="s">
        <v>16</v>
      </c>
      <c r="C971" t="s">
        <v>27</v>
      </c>
      <c r="D971">
        <v>154.43</v>
      </c>
      <c r="E971">
        <v>4</v>
      </c>
      <c r="F971" s="6">
        <v>2.11</v>
      </c>
      <c r="G971" s="4">
        <v>16.77</v>
      </c>
      <c r="H971" t="s">
        <v>429</v>
      </c>
      <c r="I971" t="s">
        <v>236</v>
      </c>
      <c r="J971" t="s">
        <v>2326</v>
      </c>
    </row>
    <row r="972" spans="1:10" x14ac:dyDescent="0.35">
      <c r="A972" t="s">
        <v>2327</v>
      </c>
      <c r="B972" t="s">
        <v>42</v>
      </c>
      <c r="C972" t="s">
        <v>37</v>
      </c>
      <c r="D972">
        <v>407.69</v>
      </c>
      <c r="E972">
        <v>3</v>
      </c>
      <c r="F972" s="6">
        <v>38.090000000000003</v>
      </c>
      <c r="G972" s="4">
        <v>17.39</v>
      </c>
      <c r="H972" t="s">
        <v>1232</v>
      </c>
      <c r="I972" t="s">
        <v>351</v>
      </c>
      <c r="J972" t="s">
        <v>2328</v>
      </c>
    </row>
    <row r="973" spans="1:10" x14ac:dyDescent="0.35">
      <c r="A973" t="s">
        <v>2329</v>
      </c>
      <c r="B973" t="s">
        <v>16</v>
      </c>
      <c r="C973" t="s">
        <v>56</v>
      </c>
      <c r="D973">
        <v>156.33000000000001</v>
      </c>
      <c r="E973">
        <v>3</v>
      </c>
      <c r="F973" s="6">
        <v>34.08</v>
      </c>
      <c r="G973" s="4">
        <v>66.36</v>
      </c>
      <c r="H973" t="s">
        <v>117</v>
      </c>
      <c r="I973" t="s">
        <v>750</v>
      </c>
      <c r="J973" t="s">
        <v>2330</v>
      </c>
    </row>
    <row r="974" spans="1:10" x14ac:dyDescent="0.35">
      <c r="A974" t="s">
        <v>2331</v>
      </c>
      <c r="B974" t="s">
        <v>42</v>
      </c>
      <c r="C974" t="s">
        <v>27</v>
      </c>
      <c r="D974">
        <v>136.62</v>
      </c>
      <c r="E974">
        <v>3</v>
      </c>
      <c r="F974" s="6">
        <v>0.92</v>
      </c>
      <c r="G974" s="4">
        <v>60.33</v>
      </c>
      <c r="H974" t="s">
        <v>1068</v>
      </c>
      <c r="I974" t="s">
        <v>1047</v>
      </c>
      <c r="J974" t="s">
        <v>2332</v>
      </c>
    </row>
    <row r="975" spans="1:10" x14ac:dyDescent="0.35">
      <c r="A975" t="s">
        <v>2333</v>
      </c>
      <c r="B975" t="s">
        <v>16</v>
      </c>
      <c r="C975" t="s">
        <v>27</v>
      </c>
      <c r="D975">
        <v>247.37</v>
      </c>
      <c r="E975">
        <v>4</v>
      </c>
      <c r="F975" s="6">
        <v>45.02</v>
      </c>
      <c r="G975" s="4">
        <v>95.68</v>
      </c>
      <c r="H975" t="s">
        <v>934</v>
      </c>
      <c r="I975" t="s">
        <v>98</v>
      </c>
      <c r="J975" t="s">
        <v>2334</v>
      </c>
    </row>
    <row r="976" spans="1:10" x14ac:dyDescent="0.35">
      <c r="A976" t="s">
        <v>2335</v>
      </c>
      <c r="B976" t="s">
        <v>42</v>
      </c>
      <c r="C976" t="s">
        <v>22</v>
      </c>
      <c r="D976">
        <v>173.76</v>
      </c>
      <c r="E976">
        <v>5</v>
      </c>
      <c r="F976" s="6">
        <v>40.369999999999997</v>
      </c>
      <c r="G976" s="4">
        <v>97.86</v>
      </c>
      <c r="H976" t="s">
        <v>639</v>
      </c>
      <c r="I976" t="s">
        <v>38</v>
      </c>
      <c r="J976" t="s">
        <v>2336</v>
      </c>
    </row>
    <row r="977" spans="1:10" x14ac:dyDescent="0.35">
      <c r="A977" t="s">
        <v>2337</v>
      </c>
      <c r="B977" t="s">
        <v>10</v>
      </c>
      <c r="C977" t="s">
        <v>56</v>
      </c>
      <c r="D977">
        <v>68.22</v>
      </c>
      <c r="E977">
        <v>3</v>
      </c>
      <c r="F977" s="6">
        <v>20.329999999999998</v>
      </c>
      <c r="G977" s="4">
        <v>23.12</v>
      </c>
      <c r="H977" t="s">
        <v>57</v>
      </c>
      <c r="I977" t="s">
        <v>1679</v>
      </c>
      <c r="J977" t="s">
        <v>2338</v>
      </c>
    </row>
    <row r="978" spans="1:10" x14ac:dyDescent="0.35">
      <c r="A978" t="s">
        <v>2339</v>
      </c>
      <c r="B978" t="s">
        <v>42</v>
      </c>
      <c r="C978" t="s">
        <v>89</v>
      </c>
      <c r="D978">
        <v>279.16000000000003</v>
      </c>
      <c r="E978">
        <v>4</v>
      </c>
      <c r="F978" s="6">
        <v>18.41</v>
      </c>
      <c r="G978" s="4">
        <v>92.49</v>
      </c>
      <c r="H978" t="s">
        <v>216</v>
      </c>
      <c r="I978" t="s">
        <v>217</v>
      </c>
      <c r="J978" t="s">
        <v>2340</v>
      </c>
    </row>
    <row r="979" spans="1:10" x14ac:dyDescent="0.35">
      <c r="A979" t="s">
        <v>2341</v>
      </c>
      <c r="B979" t="s">
        <v>16</v>
      </c>
      <c r="C979" t="s">
        <v>89</v>
      </c>
      <c r="D979">
        <v>308.54000000000002</v>
      </c>
      <c r="E979">
        <v>4</v>
      </c>
      <c r="F979" s="6">
        <v>46.02</v>
      </c>
      <c r="G979" s="4">
        <v>11.87</v>
      </c>
      <c r="H979" t="s">
        <v>510</v>
      </c>
      <c r="I979" t="s">
        <v>209</v>
      </c>
      <c r="J979" t="s">
        <v>2342</v>
      </c>
    </row>
    <row r="980" spans="1:10" x14ac:dyDescent="0.35">
      <c r="A980" t="s">
        <v>2343</v>
      </c>
      <c r="B980" t="s">
        <v>10</v>
      </c>
      <c r="C980" t="s">
        <v>22</v>
      </c>
      <c r="D980">
        <v>338.65</v>
      </c>
      <c r="E980">
        <v>5</v>
      </c>
      <c r="F980" s="6">
        <v>10.78</v>
      </c>
      <c r="G980" s="4">
        <v>28.09</v>
      </c>
      <c r="H980" t="s">
        <v>1095</v>
      </c>
      <c r="I980" t="s">
        <v>1205</v>
      </c>
      <c r="J980" t="s">
        <v>2344</v>
      </c>
    </row>
    <row r="981" spans="1:10" x14ac:dyDescent="0.35">
      <c r="A981" t="s">
        <v>2345</v>
      </c>
      <c r="B981" t="s">
        <v>16</v>
      </c>
      <c r="C981" t="s">
        <v>89</v>
      </c>
      <c r="D981">
        <v>417.6</v>
      </c>
      <c r="E981">
        <v>4</v>
      </c>
      <c r="F981" s="6">
        <v>17.89</v>
      </c>
      <c r="G981" s="4">
        <v>90.81</v>
      </c>
      <c r="H981" t="s">
        <v>784</v>
      </c>
      <c r="I981" t="s">
        <v>267</v>
      </c>
      <c r="J981" t="s">
        <v>2346</v>
      </c>
    </row>
    <row r="982" spans="1:10" x14ac:dyDescent="0.35">
      <c r="A982" t="s">
        <v>2347</v>
      </c>
      <c r="B982" t="s">
        <v>42</v>
      </c>
      <c r="C982" t="s">
        <v>47</v>
      </c>
      <c r="D982">
        <v>66.95</v>
      </c>
      <c r="E982">
        <v>4</v>
      </c>
      <c r="F982" s="6">
        <v>44.98</v>
      </c>
      <c r="G982" s="4">
        <v>52.53</v>
      </c>
      <c r="H982" t="s">
        <v>1878</v>
      </c>
      <c r="I982" t="s">
        <v>128</v>
      </c>
      <c r="J982" t="s">
        <v>2348</v>
      </c>
    </row>
    <row r="983" spans="1:10" x14ac:dyDescent="0.35">
      <c r="A983" t="s">
        <v>2349</v>
      </c>
      <c r="B983" t="s">
        <v>42</v>
      </c>
      <c r="C983" t="s">
        <v>22</v>
      </c>
      <c r="D983">
        <v>151</v>
      </c>
      <c r="E983">
        <v>3</v>
      </c>
      <c r="F983" s="6">
        <v>12.3</v>
      </c>
      <c r="G983" s="4">
        <v>99.29</v>
      </c>
      <c r="H983" t="s">
        <v>176</v>
      </c>
      <c r="I983" t="s">
        <v>1317</v>
      </c>
      <c r="J983" t="s">
        <v>2350</v>
      </c>
    </row>
    <row r="984" spans="1:10" x14ac:dyDescent="0.35">
      <c r="A984" t="s">
        <v>2351</v>
      </c>
      <c r="B984" t="s">
        <v>10</v>
      </c>
      <c r="C984" t="s">
        <v>27</v>
      </c>
      <c r="D984">
        <v>444.84</v>
      </c>
      <c r="E984">
        <v>5</v>
      </c>
      <c r="F984" s="6">
        <v>22.36</v>
      </c>
      <c r="G984" s="4">
        <v>87.05</v>
      </c>
      <c r="H984" t="s">
        <v>742</v>
      </c>
      <c r="I984" t="s">
        <v>554</v>
      </c>
      <c r="J984" t="s">
        <v>2352</v>
      </c>
    </row>
    <row r="985" spans="1:10" x14ac:dyDescent="0.35">
      <c r="A985" t="s">
        <v>2353</v>
      </c>
      <c r="B985" t="s">
        <v>10</v>
      </c>
      <c r="C985" t="s">
        <v>37</v>
      </c>
      <c r="D985">
        <v>204.53</v>
      </c>
      <c r="E985">
        <v>4</v>
      </c>
      <c r="F985" s="6">
        <v>6.13</v>
      </c>
      <c r="G985" s="4">
        <v>90.51</v>
      </c>
      <c r="H985" t="s">
        <v>975</v>
      </c>
      <c r="I985" t="s">
        <v>24</v>
      </c>
      <c r="J985" t="s">
        <v>2354</v>
      </c>
    </row>
    <row r="986" spans="1:10" x14ac:dyDescent="0.35">
      <c r="A986" t="s">
        <v>2355</v>
      </c>
      <c r="B986" t="s">
        <v>10</v>
      </c>
      <c r="C986" t="s">
        <v>17</v>
      </c>
      <c r="D986">
        <v>97.01</v>
      </c>
      <c r="E986">
        <v>5</v>
      </c>
      <c r="F986" s="6">
        <v>39.229999999999997</v>
      </c>
      <c r="G986" s="4">
        <v>24.16</v>
      </c>
      <c r="H986" t="s">
        <v>86</v>
      </c>
      <c r="I986" t="s">
        <v>338</v>
      </c>
      <c r="J986" t="s">
        <v>2356</v>
      </c>
    </row>
    <row r="987" spans="1:10" x14ac:dyDescent="0.35">
      <c r="A987" t="s">
        <v>2357</v>
      </c>
      <c r="B987" t="s">
        <v>10</v>
      </c>
      <c r="C987" t="s">
        <v>11</v>
      </c>
      <c r="D987">
        <v>245.76</v>
      </c>
      <c r="E987">
        <v>4</v>
      </c>
      <c r="F987" s="6">
        <v>16.11</v>
      </c>
      <c r="G987" s="4">
        <v>38.46</v>
      </c>
      <c r="H987" t="s">
        <v>633</v>
      </c>
      <c r="I987" t="s">
        <v>2358</v>
      </c>
      <c r="J987" t="s">
        <v>2359</v>
      </c>
    </row>
    <row r="988" spans="1:10" x14ac:dyDescent="0.35">
      <c r="A988" t="s">
        <v>2360</v>
      </c>
      <c r="B988" t="s">
        <v>42</v>
      </c>
      <c r="C988" t="s">
        <v>89</v>
      </c>
      <c r="D988">
        <v>193.88</v>
      </c>
      <c r="E988">
        <v>5</v>
      </c>
      <c r="F988" s="6">
        <v>27.22</v>
      </c>
      <c r="G988" s="4">
        <v>18.32</v>
      </c>
      <c r="H988" t="s">
        <v>714</v>
      </c>
      <c r="I988" t="s">
        <v>358</v>
      </c>
      <c r="J988" t="s">
        <v>2361</v>
      </c>
    </row>
    <row r="989" spans="1:10" x14ac:dyDescent="0.35">
      <c r="A989" t="s">
        <v>2362</v>
      </c>
      <c r="B989" t="s">
        <v>16</v>
      </c>
      <c r="C989" t="s">
        <v>32</v>
      </c>
      <c r="D989">
        <v>309.77999999999997</v>
      </c>
      <c r="E989">
        <v>5</v>
      </c>
      <c r="F989" s="6">
        <v>35.090000000000003</v>
      </c>
      <c r="G989" s="4">
        <v>29.29</v>
      </c>
      <c r="H989" t="s">
        <v>248</v>
      </c>
      <c r="I989" t="s">
        <v>345</v>
      </c>
      <c r="J989" t="s">
        <v>2363</v>
      </c>
    </row>
    <row r="990" spans="1:10" x14ac:dyDescent="0.35">
      <c r="A990" t="s">
        <v>2364</v>
      </c>
      <c r="B990" t="s">
        <v>10</v>
      </c>
      <c r="C990" t="s">
        <v>17</v>
      </c>
      <c r="D990">
        <v>84.32</v>
      </c>
      <c r="E990">
        <v>4</v>
      </c>
      <c r="F990" s="6">
        <v>42.98</v>
      </c>
      <c r="G990" s="4">
        <v>75.17</v>
      </c>
      <c r="H990" t="s">
        <v>607</v>
      </c>
      <c r="I990" t="s">
        <v>661</v>
      </c>
      <c r="J990" t="s">
        <v>2365</v>
      </c>
    </row>
    <row r="991" spans="1:10" x14ac:dyDescent="0.35">
      <c r="A991" t="s">
        <v>2366</v>
      </c>
      <c r="B991" t="s">
        <v>16</v>
      </c>
      <c r="C991" t="s">
        <v>17</v>
      </c>
      <c r="D991">
        <v>419.23</v>
      </c>
      <c r="E991">
        <v>4</v>
      </c>
      <c r="F991" s="6">
        <v>45.75</v>
      </c>
      <c r="G991" s="4">
        <v>95.67</v>
      </c>
      <c r="H991" t="s">
        <v>1010</v>
      </c>
      <c r="I991" t="s">
        <v>260</v>
      </c>
      <c r="J991" t="s">
        <v>2367</v>
      </c>
    </row>
    <row r="992" spans="1:10" x14ac:dyDescent="0.35">
      <c r="A992" t="s">
        <v>2368</v>
      </c>
      <c r="B992" t="s">
        <v>16</v>
      </c>
      <c r="C992" t="s">
        <v>11</v>
      </c>
      <c r="D992">
        <v>326.83</v>
      </c>
      <c r="E992">
        <v>5</v>
      </c>
      <c r="F992" s="6">
        <v>35.869999999999997</v>
      </c>
      <c r="G992" s="4">
        <v>50.12</v>
      </c>
      <c r="H992" t="s">
        <v>292</v>
      </c>
      <c r="I992" t="s">
        <v>135</v>
      </c>
      <c r="J992" t="s">
        <v>2369</v>
      </c>
    </row>
    <row r="993" spans="1:10" x14ac:dyDescent="0.35">
      <c r="A993" t="s">
        <v>2370</v>
      </c>
      <c r="B993" t="s">
        <v>42</v>
      </c>
      <c r="C993" t="s">
        <v>32</v>
      </c>
      <c r="D993">
        <v>143.24</v>
      </c>
      <c r="E993">
        <v>3</v>
      </c>
      <c r="F993" s="6">
        <v>6.46</v>
      </c>
      <c r="G993" s="4">
        <v>98.59</v>
      </c>
      <c r="H993" t="s">
        <v>506</v>
      </c>
      <c r="I993" t="s">
        <v>909</v>
      </c>
      <c r="J993" t="s">
        <v>2371</v>
      </c>
    </row>
    <row r="994" spans="1:10" x14ac:dyDescent="0.35">
      <c r="A994" t="s">
        <v>2372</v>
      </c>
      <c r="B994" t="s">
        <v>16</v>
      </c>
      <c r="C994" t="s">
        <v>27</v>
      </c>
      <c r="D994">
        <v>421.27</v>
      </c>
      <c r="E994">
        <v>5</v>
      </c>
      <c r="F994" s="6">
        <v>20.16</v>
      </c>
      <c r="G994" s="4">
        <v>62.26</v>
      </c>
      <c r="H994" t="s">
        <v>555</v>
      </c>
      <c r="I994" t="s">
        <v>1474</v>
      </c>
      <c r="J994" t="s">
        <v>2373</v>
      </c>
    </row>
    <row r="995" spans="1:10" x14ac:dyDescent="0.35">
      <c r="A995" t="s">
        <v>2374</v>
      </c>
      <c r="B995" t="s">
        <v>10</v>
      </c>
      <c r="C995" t="s">
        <v>17</v>
      </c>
      <c r="D995">
        <v>223.39</v>
      </c>
      <c r="E995">
        <v>4</v>
      </c>
      <c r="F995" s="6">
        <v>7.86</v>
      </c>
      <c r="G995" s="4">
        <v>17.559999999999999</v>
      </c>
      <c r="H995" t="s">
        <v>256</v>
      </c>
      <c r="I995" t="s">
        <v>263</v>
      </c>
      <c r="J995" t="s">
        <v>2375</v>
      </c>
    </row>
    <row r="996" spans="1:10" x14ac:dyDescent="0.35">
      <c r="A996" t="s">
        <v>2376</v>
      </c>
      <c r="B996" t="s">
        <v>42</v>
      </c>
      <c r="C996" t="s">
        <v>47</v>
      </c>
      <c r="D996">
        <v>405.34</v>
      </c>
      <c r="E996">
        <v>3</v>
      </c>
      <c r="F996" s="6">
        <v>25.73</v>
      </c>
      <c r="G996" s="4">
        <v>90.32</v>
      </c>
      <c r="H996" t="s">
        <v>1328</v>
      </c>
      <c r="I996" t="s">
        <v>280</v>
      </c>
      <c r="J996" t="s">
        <v>2377</v>
      </c>
    </row>
    <row r="997" spans="1:10" x14ac:dyDescent="0.35">
      <c r="A997" t="s">
        <v>2378</v>
      </c>
      <c r="B997" t="s">
        <v>42</v>
      </c>
      <c r="C997" t="s">
        <v>11</v>
      </c>
      <c r="D997">
        <v>149.15</v>
      </c>
      <c r="E997">
        <v>4</v>
      </c>
      <c r="F997" s="6">
        <v>2.27</v>
      </c>
      <c r="G997" s="4">
        <v>90.97</v>
      </c>
      <c r="H997" t="s">
        <v>714</v>
      </c>
      <c r="I997" t="s">
        <v>260</v>
      </c>
      <c r="J997" t="s">
        <v>2379</v>
      </c>
    </row>
    <row r="998" spans="1:10" x14ac:dyDescent="0.35">
      <c r="A998" t="s">
        <v>2380</v>
      </c>
      <c r="B998" t="s">
        <v>16</v>
      </c>
      <c r="C998" t="s">
        <v>27</v>
      </c>
      <c r="D998">
        <v>248.06</v>
      </c>
      <c r="E998">
        <v>4</v>
      </c>
      <c r="F998" s="6">
        <v>31.39</v>
      </c>
      <c r="G998" s="4">
        <v>75.58</v>
      </c>
      <c r="H998" t="s">
        <v>161</v>
      </c>
      <c r="I998" t="s">
        <v>147</v>
      </c>
      <c r="J998" t="s">
        <v>2381</v>
      </c>
    </row>
    <row r="999" spans="1:10" x14ac:dyDescent="0.35">
      <c r="A999" t="s">
        <v>2382</v>
      </c>
      <c r="B999" t="s">
        <v>16</v>
      </c>
      <c r="C999" t="s">
        <v>11</v>
      </c>
      <c r="D999">
        <v>148.97999999999999</v>
      </c>
      <c r="E999">
        <v>5</v>
      </c>
      <c r="F999" s="6">
        <v>36.25</v>
      </c>
      <c r="G999" s="4">
        <v>74.72</v>
      </c>
      <c r="H999" t="s">
        <v>401</v>
      </c>
      <c r="I999" t="s">
        <v>856</v>
      </c>
      <c r="J999" t="s">
        <v>2383</v>
      </c>
    </row>
    <row r="1000" spans="1:10" x14ac:dyDescent="0.35">
      <c r="A1000" t="s">
        <v>2384</v>
      </c>
      <c r="B1000" t="s">
        <v>16</v>
      </c>
      <c r="C1000" t="s">
        <v>32</v>
      </c>
      <c r="D1000">
        <v>384.5</v>
      </c>
      <c r="E1000">
        <v>3</v>
      </c>
      <c r="F1000" s="6">
        <v>13.5</v>
      </c>
      <c r="G1000" s="4">
        <v>20.95</v>
      </c>
      <c r="H1000" t="s">
        <v>161</v>
      </c>
      <c r="I1000" t="s">
        <v>558</v>
      </c>
      <c r="J1000" t="s">
        <v>2385</v>
      </c>
    </row>
    <row r="1001" spans="1:10" x14ac:dyDescent="0.35">
      <c r="A1001" t="s">
        <v>2386</v>
      </c>
      <c r="B1001" t="s">
        <v>10</v>
      </c>
      <c r="C1001" t="s">
        <v>37</v>
      </c>
      <c r="D1001">
        <v>435.37</v>
      </c>
      <c r="E1001">
        <v>5</v>
      </c>
      <c r="F1001" s="6">
        <v>40.36</v>
      </c>
      <c r="G1001" s="4">
        <v>77.23</v>
      </c>
      <c r="H1001" t="s">
        <v>717</v>
      </c>
      <c r="I1001" t="s">
        <v>466</v>
      </c>
      <c r="J1001" t="s">
        <v>2387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63D-0F3F-4F37-A293-85B1188585C4}">
  <dimension ref="C3:L4"/>
  <sheetViews>
    <sheetView workbookViewId="0">
      <selection activeCell="G4" sqref="G4"/>
    </sheetView>
  </sheetViews>
  <sheetFormatPr defaultRowHeight="14.5" x14ac:dyDescent="0.35"/>
  <cols>
    <col min="3" max="3" width="14.6328125" bestFit="1" customWidth="1"/>
    <col min="7" max="7" width="20.08984375" bestFit="1" customWidth="1"/>
  </cols>
  <sheetData>
    <row r="3" spans="3:12" x14ac:dyDescent="0.35">
      <c r="C3" t="s">
        <v>2388</v>
      </c>
      <c r="G3" t="s">
        <v>2389</v>
      </c>
      <c r="L3" t="s">
        <v>2390</v>
      </c>
    </row>
    <row r="4" spans="3:12" x14ac:dyDescent="0.35">
      <c r="C4" t="s">
        <v>2402</v>
      </c>
      <c r="G4" t="s">
        <v>10</v>
      </c>
      <c r="L4" t="s">
        <v>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417386-D643-447B-9647-20AD6622B59F}">
          <x14:formula1>
            <xm:f>'DATA VALIDATION'!$C$2:$C$17</xm:f>
          </x14:formula1>
          <xm:sqref>C4</xm:sqref>
        </x14:dataValidation>
        <x14:dataValidation type="list" allowBlank="1" showInputMessage="1" showErrorMessage="1" xr:uid="{2C7B4AD3-0B58-4873-8FAC-8F4CDDC36934}">
          <x14:formula1>
            <xm:f>'DATA VALIDATION'!$G$2:$G$4</xm:f>
          </x14:formula1>
          <xm:sqref>G4</xm:sqref>
        </x14:dataValidation>
        <x14:dataValidation type="list" allowBlank="1" showInputMessage="1" showErrorMessage="1" xr:uid="{3BFC7CFE-A4FF-4DCA-BFB8-B0FAAFF26631}">
          <x14:formula1>
            <xm:f>'DATA VALIDATION'!$J$2:$J$11</xm:f>
          </x14:formula1>
          <xm:sqref>L4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B044-AB14-4A20-8AE7-85AABB98914E}">
  <dimension ref="A1:J1001"/>
  <sheetViews>
    <sheetView workbookViewId="0">
      <selection activeCell="I2" sqref="I2"/>
    </sheetView>
  </sheetViews>
  <sheetFormatPr defaultRowHeight="14.5" x14ac:dyDescent="0.35"/>
  <cols>
    <col min="1" max="1" width="58.453125" bestFit="1" customWidth="1"/>
  </cols>
  <sheetData>
    <row r="1" spans="1:10" x14ac:dyDescent="0.35">
      <c r="A1" t="s">
        <v>2391</v>
      </c>
      <c r="E1" t="s">
        <v>2392</v>
      </c>
      <c r="I1" t="s">
        <v>2390</v>
      </c>
    </row>
    <row r="2" spans="1:10" x14ac:dyDescent="0.35">
      <c r="A2" t="str" cm="1">
        <f t="array" ref="A2:A1001">SALES[Product Name]</f>
        <v>Smart Watch, Monitor, Speaker, Keyboard</v>
      </c>
      <c r="C2" t="str" cm="1">
        <f t="array" ref="C2:C17">_xlfn.UNIQUE(_xlfn.TEXTSPLIT(_xlfn.ANCHORARRAY(A2),","))</f>
        <v>Smart Watch</v>
      </c>
      <c r="E2" t="str" cm="1">
        <f t="array" ref="E2:E1001">SALES[Customer Segment]</f>
        <v>Corporate</v>
      </c>
      <c r="G2" t="str" cm="1">
        <f t="array" ref="G2:G4">_xlfn.UNIQUE(_xlfn.ANCHORARRAY(E2))</f>
        <v>Corporate</v>
      </c>
      <c r="I2" t="str" cm="1">
        <f t="array" ref="I2:I1001">SALES[Region]</f>
        <v>Brazil</v>
      </c>
      <c r="J2" t="str" cm="1">
        <f t="array" ref="J2:J11">_xlfn.UNIQUE(_xlfn.ANCHORARRAY(I2))</f>
        <v>Brazil</v>
      </c>
    </row>
    <row r="3" spans="1:10" x14ac:dyDescent="0.35">
      <c r="A3" t="str">
        <v>Speaker, Webcam, External Hard Drive</v>
      </c>
      <c r="C3" t="str">
        <v>Speaker</v>
      </c>
      <c r="E3" t="str">
        <v>Consumer</v>
      </c>
      <c r="G3" t="str">
        <v>Consumer</v>
      </c>
      <c r="I3" t="str">
        <v>India</v>
      </c>
      <c r="J3" t="str">
        <v>India</v>
      </c>
    </row>
    <row r="4" spans="1:10" x14ac:dyDescent="0.35">
      <c r="A4" t="str">
        <v>Printer, Mouse, Desk Lamp, Tablet, Projector</v>
      </c>
      <c r="C4" t="str">
        <v>Printer</v>
      </c>
      <c r="E4" t="str">
        <v>Corporate</v>
      </c>
      <c r="G4" t="str">
        <v>Home Office</v>
      </c>
      <c r="I4" t="str">
        <v>Australia</v>
      </c>
      <c r="J4" t="str">
        <v>Australia</v>
      </c>
    </row>
    <row r="5" spans="1:10" x14ac:dyDescent="0.35">
      <c r="A5" t="str">
        <v>Webcam, Printer, Keyboard, Projector, Laptop</v>
      </c>
      <c r="C5" t="str">
        <v>Webcam</v>
      </c>
      <c r="E5" t="str">
        <v>Consumer</v>
      </c>
      <c r="I5" t="str">
        <v>Canada</v>
      </c>
      <c r="J5" t="str">
        <v>Canada</v>
      </c>
    </row>
    <row r="6" spans="1:10" x14ac:dyDescent="0.35">
      <c r="A6" t="str">
        <v>Laptop, Smartphone, Webcam, Monitor</v>
      </c>
      <c r="C6" t="str">
        <v>Laptop</v>
      </c>
      <c r="E6" t="str">
        <v>Consumer</v>
      </c>
      <c r="I6" t="str">
        <v>Germany</v>
      </c>
      <c r="J6" t="str">
        <v>Germany</v>
      </c>
    </row>
    <row r="7" spans="1:10" x14ac:dyDescent="0.35">
      <c r="A7" t="str">
        <v>Router, Printer, Keyboard, External Hard Drive, Monitor</v>
      </c>
      <c r="C7" t="str">
        <v>Router</v>
      </c>
      <c r="E7" t="str">
        <v>Consumer</v>
      </c>
      <c r="I7" t="str">
        <v>Nigeria</v>
      </c>
      <c r="J7" t="str">
        <v>Nigeria</v>
      </c>
    </row>
    <row r="8" spans="1:10" x14ac:dyDescent="0.35">
      <c r="A8" t="str">
        <v>Projector, Desk Chair, Mouse, Speaker</v>
      </c>
      <c r="C8" t="str">
        <v>Projector</v>
      </c>
      <c r="E8" t="str">
        <v>Home Office</v>
      </c>
      <c r="I8" t="str">
        <v>Australia</v>
      </c>
      <c r="J8" t="str">
        <v>France</v>
      </c>
    </row>
    <row r="9" spans="1:10" x14ac:dyDescent="0.35">
      <c r="A9" t="str">
        <v>Monitor, External Hard Drive, Laptop, Headphones, Projector</v>
      </c>
      <c r="C9" t="str">
        <v>Monitor</v>
      </c>
      <c r="E9" t="str">
        <v>Home Office</v>
      </c>
      <c r="I9" t="str">
        <v>France</v>
      </c>
      <c r="J9" t="str">
        <v>UK</v>
      </c>
    </row>
    <row r="10" spans="1:10" x14ac:dyDescent="0.35">
      <c r="A10" t="str">
        <v>Smart Watch, Router, Speaker, Mouse</v>
      </c>
      <c r="C10" t="str">
        <v>Tablet</v>
      </c>
      <c r="E10" t="str">
        <v>Corporate</v>
      </c>
      <c r="I10" t="str">
        <v>Canada</v>
      </c>
      <c r="J10" t="str">
        <v>USA</v>
      </c>
    </row>
    <row r="11" spans="1:10" x14ac:dyDescent="0.35">
      <c r="A11" t="str">
        <v>Tablet, Desk Chair, Webcam, Monitor, Projector</v>
      </c>
      <c r="C11" t="str">
        <v>Mouse</v>
      </c>
      <c r="E11" t="str">
        <v>Home Office</v>
      </c>
      <c r="I11" t="str">
        <v>UK</v>
      </c>
      <c r="J11" t="str">
        <v>Japan</v>
      </c>
    </row>
    <row r="12" spans="1:10" x14ac:dyDescent="0.35">
      <c r="A12" t="str">
        <v>Projector, Mouse, Router</v>
      </c>
      <c r="C12" t="str">
        <v>Smartphone</v>
      </c>
      <c r="E12" t="str">
        <v>Corporate</v>
      </c>
      <c r="I12" t="str">
        <v>USA</v>
      </c>
    </row>
    <row r="13" spans="1:10" x14ac:dyDescent="0.35">
      <c r="A13" t="str">
        <v>Mouse, Smartphone, Laptop, External Hard Drive, Smart Watch</v>
      </c>
      <c r="C13" t="str">
        <v>Keyboard</v>
      </c>
      <c r="E13" t="str">
        <v>Corporate</v>
      </c>
      <c r="I13" t="str">
        <v>Canada</v>
      </c>
    </row>
    <row r="14" spans="1:10" x14ac:dyDescent="0.35">
      <c r="A14" t="str">
        <v>Smartphone, Laptop, Keyboard, Monitor</v>
      </c>
      <c r="C14" t="str">
        <v>Desk Lamp</v>
      </c>
      <c r="E14" t="str">
        <v>Consumer</v>
      </c>
      <c r="I14" t="str">
        <v>France</v>
      </c>
    </row>
    <row r="15" spans="1:10" x14ac:dyDescent="0.35">
      <c r="A15" t="str">
        <v>Laptop, Monitor, Headphones</v>
      </c>
      <c r="C15" t="str">
        <v>Desk Chair</v>
      </c>
      <c r="E15" t="str">
        <v>Home Office</v>
      </c>
      <c r="I15" t="str">
        <v>France</v>
      </c>
    </row>
    <row r="16" spans="1:10" x14ac:dyDescent="0.35">
      <c r="A16" t="str">
        <v>Keyboard, Printer, Mouse, Laptop</v>
      </c>
      <c r="C16" t="str">
        <v>External Hard Drive</v>
      </c>
      <c r="E16" t="str">
        <v>Corporate</v>
      </c>
      <c r="I16" t="str">
        <v>UK</v>
      </c>
    </row>
    <row r="17" spans="1:9" x14ac:dyDescent="0.35">
      <c r="A17" t="str">
        <v>Monitor, Projector, Keyboard</v>
      </c>
      <c r="C17" t="str">
        <v>Headphones</v>
      </c>
      <c r="E17" t="str">
        <v>Corporate</v>
      </c>
      <c r="I17" t="str">
        <v>France</v>
      </c>
    </row>
    <row r="18" spans="1:9" x14ac:dyDescent="0.35">
      <c r="A18" t="str">
        <v>Desk Lamp, Projector, Smartphone, Desk Chair</v>
      </c>
      <c r="E18" t="str">
        <v>Home Office</v>
      </c>
      <c r="I18" t="str">
        <v>Nigeria</v>
      </c>
    </row>
    <row r="19" spans="1:9" x14ac:dyDescent="0.35">
      <c r="A19" t="str">
        <v>Smartphone, Projector, Mouse, Router, Smart Watch</v>
      </c>
      <c r="E19" t="str">
        <v>Home Office</v>
      </c>
      <c r="I19" t="str">
        <v>Japan</v>
      </c>
    </row>
    <row r="20" spans="1:9" x14ac:dyDescent="0.35">
      <c r="A20" t="str">
        <v>Printer, Projector, Desk Chair, Webcam</v>
      </c>
      <c r="E20" t="str">
        <v>Home Office</v>
      </c>
      <c r="I20" t="str">
        <v>USA</v>
      </c>
    </row>
    <row r="21" spans="1:9" x14ac:dyDescent="0.35">
      <c r="A21" t="str">
        <v>Laptop, Tablet, Printer</v>
      </c>
      <c r="E21" t="str">
        <v>Corporate</v>
      </c>
      <c r="I21" t="str">
        <v>Brazil</v>
      </c>
    </row>
    <row r="22" spans="1:9" x14ac:dyDescent="0.35">
      <c r="A22" t="str">
        <v>Webcam, Desk Chair, Headphones</v>
      </c>
      <c r="E22" t="str">
        <v>Corporate</v>
      </c>
      <c r="I22" t="str">
        <v>Canada</v>
      </c>
    </row>
    <row r="23" spans="1:9" x14ac:dyDescent="0.35">
      <c r="A23" t="str">
        <v>Mouse, Projector, Smart Watch, Keyboard, Desk Lamp</v>
      </c>
      <c r="E23" t="str">
        <v>Consumer</v>
      </c>
      <c r="I23" t="str">
        <v>Nigeria</v>
      </c>
    </row>
    <row r="24" spans="1:9" x14ac:dyDescent="0.35">
      <c r="A24" t="str">
        <v>Webcam, Keyboard, Laptop</v>
      </c>
      <c r="E24" t="str">
        <v>Corporate</v>
      </c>
      <c r="I24" t="str">
        <v>India</v>
      </c>
    </row>
    <row r="25" spans="1:9" x14ac:dyDescent="0.35">
      <c r="A25" t="str">
        <v>Router, Headphones, Speaker, Tablet, Smartphone</v>
      </c>
      <c r="E25" t="str">
        <v>Corporate</v>
      </c>
      <c r="I25" t="str">
        <v>Canada</v>
      </c>
    </row>
    <row r="26" spans="1:9" x14ac:dyDescent="0.35">
      <c r="A26" t="str">
        <v>Printer, Laptop, Tablet</v>
      </c>
      <c r="E26" t="str">
        <v>Consumer</v>
      </c>
      <c r="I26" t="str">
        <v>India</v>
      </c>
    </row>
    <row r="27" spans="1:9" x14ac:dyDescent="0.35">
      <c r="A27" t="str">
        <v>Desk Chair, Keyboard, Smart Watch, Webcam, External Hard Drive</v>
      </c>
      <c r="E27" t="str">
        <v>Home Office</v>
      </c>
      <c r="I27" t="str">
        <v>Brazil</v>
      </c>
    </row>
    <row r="28" spans="1:9" x14ac:dyDescent="0.35">
      <c r="A28" t="str">
        <v>External Hard Drive, Desk Chair, Webcam, Monitor, Speaker</v>
      </c>
      <c r="E28" t="str">
        <v>Consumer</v>
      </c>
      <c r="I28" t="str">
        <v>UK</v>
      </c>
    </row>
    <row r="29" spans="1:9" x14ac:dyDescent="0.35">
      <c r="A29" t="str">
        <v>Tablet, Desk Lamp, Smart Watch, Projector</v>
      </c>
      <c r="E29" t="str">
        <v>Home Office</v>
      </c>
      <c r="I29" t="str">
        <v>India</v>
      </c>
    </row>
    <row r="30" spans="1:9" x14ac:dyDescent="0.35">
      <c r="A30" t="str">
        <v>Smartphone, Keyboard, Desk Chair</v>
      </c>
      <c r="E30" t="str">
        <v>Corporate</v>
      </c>
      <c r="I30" t="str">
        <v>India</v>
      </c>
    </row>
    <row r="31" spans="1:9" x14ac:dyDescent="0.35">
      <c r="A31" t="str">
        <v>Router, Laptop, Speaker, External Hard Drive, Desk Lamp</v>
      </c>
      <c r="E31" t="str">
        <v>Consumer</v>
      </c>
      <c r="I31" t="str">
        <v>France</v>
      </c>
    </row>
    <row r="32" spans="1:9" x14ac:dyDescent="0.35">
      <c r="A32" t="str">
        <v>Printer, External Hard Drive, Headphones</v>
      </c>
      <c r="E32" t="str">
        <v>Consumer</v>
      </c>
      <c r="I32" t="str">
        <v>USA</v>
      </c>
    </row>
    <row r="33" spans="1:9" x14ac:dyDescent="0.35">
      <c r="A33" t="str">
        <v>Monitor, Headphones, External Hard Drive, Mouse, Router</v>
      </c>
      <c r="E33" t="str">
        <v>Consumer</v>
      </c>
      <c r="I33" t="str">
        <v>France</v>
      </c>
    </row>
    <row r="34" spans="1:9" x14ac:dyDescent="0.35">
      <c r="A34" t="str">
        <v>Desk Chair, Laptop, Headphones, Monitor, Router</v>
      </c>
      <c r="E34" t="str">
        <v>Home Office</v>
      </c>
      <c r="I34" t="str">
        <v>Germany</v>
      </c>
    </row>
    <row r="35" spans="1:9" x14ac:dyDescent="0.35">
      <c r="A35" t="str">
        <v>External Hard Drive, Headphones, Projector, Webcam, Speaker</v>
      </c>
      <c r="E35" t="str">
        <v>Consumer</v>
      </c>
      <c r="I35" t="str">
        <v>India</v>
      </c>
    </row>
    <row r="36" spans="1:9" x14ac:dyDescent="0.35">
      <c r="A36" t="str">
        <v>Mouse, Desk Chair, Speaker</v>
      </c>
      <c r="E36" t="str">
        <v>Home Office</v>
      </c>
      <c r="I36" t="str">
        <v>France</v>
      </c>
    </row>
    <row r="37" spans="1:9" x14ac:dyDescent="0.35">
      <c r="A37" t="str">
        <v>Smartphone, External Hard Drive, Webcam</v>
      </c>
      <c r="E37" t="str">
        <v>Consumer</v>
      </c>
      <c r="I37" t="str">
        <v>UK</v>
      </c>
    </row>
    <row r="38" spans="1:9" x14ac:dyDescent="0.35">
      <c r="A38" t="str">
        <v>Smartphone, Tablet, Laptop</v>
      </c>
      <c r="E38" t="str">
        <v>Home Office</v>
      </c>
      <c r="I38" t="str">
        <v>France</v>
      </c>
    </row>
    <row r="39" spans="1:9" x14ac:dyDescent="0.35">
      <c r="A39" t="str">
        <v>Webcam, Monitor, Router, Printer</v>
      </c>
      <c r="E39" t="str">
        <v>Home Office</v>
      </c>
      <c r="I39" t="str">
        <v>Japan</v>
      </c>
    </row>
    <row r="40" spans="1:9" x14ac:dyDescent="0.35">
      <c r="A40" t="str">
        <v>Mouse, External Hard Drive, Webcam, Smart Watch, Projector</v>
      </c>
      <c r="E40" t="str">
        <v>Consumer</v>
      </c>
      <c r="I40" t="str">
        <v>Canada</v>
      </c>
    </row>
    <row r="41" spans="1:9" x14ac:dyDescent="0.35">
      <c r="A41" t="str">
        <v>Desk Lamp, Webcam, Keyboard, Laptop, Projector</v>
      </c>
      <c r="E41" t="str">
        <v>Corporate</v>
      </c>
      <c r="I41" t="str">
        <v>Japan</v>
      </c>
    </row>
    <row r="42" spans="1:9" x14ac:dyDescent="0.35">
      <c r="A42" t="str">
        <v>Mouse, Speaker, Printer, Monitor</v>
      </c>
      <c r="E42" t="str">
        <v>Corporate</v>
      </c>
      <c r="I42" t="str">
        <v>Brazil</v>
      </c>
    </row>
    <row r="43" spans="1:9" x14ac:dyDescent="0.35">
      <c r="A43" t="str">
        <v>Router, External Hard Drive, Webcam</v>
      </c>
      <c r="E43" t="str">
        <v>Corporate</v>
      </c>
      <c r="I43" t="str">
        <v>Japan</v>
      </c>
    </row>
    <row r="44" spans="1:9" x14ac:dyDescent="0.35">
      <c r="A44" t="str">
        <v>Projector, Laptop, Keyboard, Monitor, Speaker</v>
      </c>
      <c r="E44" t="str">
        <v>Home Office</v>
      </c>
      <c r="I44" t="str">
        <v>USA</v>
      </c>
    </row>
    <row r="45" spans="1:9" x14ac:dyDescent="0.35">
      <c r="A45" t="str">
        <v>Webcam, Monitor, Smartphone, External Hard Drive, Printer</v>
      </c>
      <c r="E45" t="str">
        <v>Home Office</v>
      </c>
      <c r="I45" t="str">
        <v>France</v>
      </c>
    </row>
    <row r="46" spans="1:9" x14ac:dyDescent="0.35">
      <c r="A46" t="str">
        <v>Mouse, Headphones, Desk Chair</v>
      </c>
      <c r="E46" t="str">
        <v>Home Office</v>
      </c>
      <c r="I46" t="str">
        <v>France</v>
      </c>
    </row>
    <row r="47" spans="1:9" x14ac:dyDescent="0.35">
      <c r="A47" t="str">
        <v>Projector, Monitor, External Hard Drive</v>
      </c>
      <c r="E47" t="str">
        <v>Home Office</v>
      </c>
      <c r="I47" t="str">
        <v>Canada</v>
      </c>
    </row>
    <row r="48" spans="1:9" x14ac:dyDescent="0.35">
      <c r="A48" t="str">
        <v>Projector, Speaker, Headphones, Printer, Smartphone</v>
      </c>
      <c r="E48" t="str">
        <v>Consumer</v>
      </c>
      <c r="I48" t="str">
        <v>India</v>
      </c>
    </row>
    <row r="49" spans="1:9" x14ac:dyDescent="0.35">
      <c r="A49" t="str">
        <v>Speaker, Keyboard, Smartphone</v>
      </c>
      <c r="E49" t="str">
        <v>Consumer</v>
      </c>
      <c r="I49" t="str">
        <v>India</v>
      </c>
    </row>
    <row r="50" spans="1:9" x14ac:dyDescent="0.35">
      <c r="A50" t="str">
        <v>Projector, Mouse, Smartphone, Desk Chair, Headphones</v>
      </c>
      <c r="E50" t="str">
        <v>Consumer</v>
      </c>
      <c r="I50" t="str">
        <v>UK</v>
      </c>
    </row>
    <row r="51" spans="1:9" x14ac:dyDescent="0.35">
      <c r="A51" t="str">
        <v>Speaker, Laptop, Headphones, Mouse, Webcam</v>
      </c>
      <c r="E51" t="str">
        <v>Corporate</v>
      </c>
      <c r="I51" t="str">
        <v>Brazil</v>
      </c>
    </row>
    <row r="52" spans="1:9" x14ac:dyDescent="0.35">
      <c r="A52" t="str">
        <v>Mouse, Webcam, Printer, Desk Chair, Smartphone</v>
      </c>
      <c r="E52" t="str">
        <v>Home Office</v>
      </c>
      <c r="I52" t="str">
        <v>Japan</v>
      </c>
    </row>
    <row r="53" spans="1:9" x14ac:dyDescent="0.35">
      <c r="A53" t="str">
        <v>Headphones, Speaker, Mouse, Tablet</v>
      </c>
      <c r="E53" t="str">
        <v>Consumer</v>
      </c>
      <c r="I53" t="str">
        <v>Canada</v>
      </c>
    </row>
    <row r="54" spans="1:9" x14ac:dyDescent="0.35">
      <c r="A54" t="str">
        <v>Webcam, External Hard Drive, Monitor, Desk Lamp</v>
      </c>
      <c r="E54" t="str">
        <v>Corporate</v>
      </c>
      <c r="I54" t="str">
        <v>Germany</v>
      </c>
    </row>
    <row r="55" spans="1:9" x14ac:dyDescent="0.35">
      <c r="A55" t="str">
        <v>Smart Watch, Mouse, Webcam, Printer, Keyboard</v>
      </c>
      <c r="E55" t="str">
        <v>Home Office</v>
      </c>
      <c r="I55" t="str">
        <v>Australia</v>
      </c>
    </row>
    <row r="56" spans="1:9" x14ac:dyDescent="0.35">
      <c r="A56" t="str">
        <v>Speaker, Smart Watch, Desk Lamp, Laptop</v>
      </c>
      <c r="E56" t="str">
        <v>Home Office</v>
      </c>
      <c r="I56" t="str">
        <v>Germany</v>
      </c>
    </row>
    <row r="57" spans="1:9" x14ac:dyDescent="0.35">
      <c r="A57" t="str">
        <v>Headphones, External Hard Drive, Router, Speaker, Keyboard</v>
      </c>
      <c r="E57" t="str">
        <v>Home Office</v>
      </c>
      <c r="I57" t="str">
        <v>UK</v>
      </c>
    </row>
    <row r="58" spans="1:9" x14ac:dyDescent="0.35">
      <c r="A58" t="str">
        <v>Desk Chair, Mouse, Smart Watch, Printer, Headphones</v>
      </c>
      <c r="E58" t="str">
        <v>Home Office</v>
      </c>
      <c r="I58" t="str">
        <v>USA</v>
      </c>
    </row>
    <row r="59" spans="1:9" x14ac:dyDescent="0.35">
      <c r="A59" t="str">
        <v>Desk Chair, Router, Speaker</v>
      </c>
      <c r="E59" t="str">
        <v>Corporate</v>
      </c>
      <c r="I59" t="str">
        <v>Japan</v>
      </c>
    </row>
    <row r="60" spans="1:9" x14ac:dyDescent="0.35">
      <c r="A60" t="str">
        <v>External Hard Drive, Router, Laptop, Smart Watch</v>
      </c>
      <c r="E60" t="str">
        <v>Corporate</v>
      </c>
      <c r="I60" t="str">
        <v>Brazil</v>
      </c>
    </row>
    <row r="61" spans="1:9" x14ac:dyDescent="0.35">
      <c r="A61" t="str">
        <v>Webcam, Tablet, Keyboard, Monitor, Desk Chair</v>
      </c>
      <c r="E61" t="str">
        <v>Corporate</v>
      </c>
      <c r="I61" t="str">
        <v>Brazil</v>
      </c>
    </row>
    <row r="62" spans="1:9" x14ac:dyDescent="0.35">
      <c r="A62" t="str">
        <v>Mouse, Router, Desk Lamp, External Hard Drive, Printer</v>
      </c>
      <c r="E62" t="str">
        <v>Home Office</v>
      </c>
      <c r="I62" t="str">
        <v>UK</v>
      </c>
    </row>
    <row r="63" spans="1:9" x14ac:dyDescent="0.35">
      <c r="A63" t="str">
        <v>Webcam, Headphones, Keyboard</v>
      </c>
      <c r="E63" t="str">
        <v>Corporate</v>
      </c>
      <c r="I63" t="str">
        <v>France</v>
      </c>
    </row>
    <row r="64" spans="1:9" x14ac:dyDescent="0.35">
      <c r="A64" t="str">
        <v>Projector, Laptop, Router, External Hard Drive, Smart Watch</v>
      </c>
      <c r="E64" t="str">
        <v>Consumer</v>
      </c>
      <c r="I64" t="str">
        <v>France</v>
      </c>
    </row>
    <row r="65" spans="1:9" x14ac:dyDescent="0.35">
      <c r="A65" t="str">
        <v>Monitor, Router, Smartphone</v>
      </c>
      <c r="E65" t="str">
        <v>Consumer</v>
      </c>
      <c r="I65" t="str">
        <v>Australia</v>
      </c>
    </row>
    <row r="66" spans="1:9" x14ac:dyDescent="0.35">
      <c r="A66" t="str">
        <v>Desk Lamp, Smart Watch, Speaker</v>
      </c>
      <c r="E66" t="str">
        <v>Consumer</v>
      </c>
      <c r="I66" t="str">
        <v>Canada</v>
      </c>
    </row>
    <row r="67" spans="1:9" x14ac:dyDescent="0.35">
      <c r="A67" t="str">
        <v>Printer, Smart Watch, Projector, Smartphone</v>
      </c>
      <c r="E67" t="str">
        <v>Home Office</v>
      </c>
      <c r="I67" t="str">
        <v>Australia</v>
      </c>
    </row>
    <row r="68" spans="1:9" x14ac:dyDescent="0.35">
      <c r="A68" t="str">
        <v>Headphones, Printer, Router</v>
      </c>
      <c r="E68" t="str">
        <v>Home Office</v>
      </c>
      <c r="I68" t="str">
        <v>UK</v>
      </c>
    </row>
    <row r="69" spans="1:9" x14ac:dyDescent="0.35">
      <c r="A69" t="str">
        <v>Mouse, Headphones, Smart Watch, Laptop</v>
      </c>
      <c r="E69" t="str">
        <v>Home Office</v>
      </c>
      <c r="I69" t="str">
        <v>Germany</v>
      </c>
    </row>
    <row r="70" spans="1:9" x14ac:dyDescent="0.35">
      <c r="A70" t="str">
        <v>Speaker, Webcam, Headphones, Monitor</v>
      </c>
      <c r="E70" t="str">
        <v>Corporate</v>
      </c>
      <c r="I70" t="str">
        <v>Brazil</v>
      </c>
    </row>
    <row r="71" spans="1:9" x14ac:dyDescent="0.35">
      <c r="A71" t="str">
        <v>Speaker, Router, Headphones</v>
      </c>
      <c r="E71" t="str">
        <v>Corporate</v>
      </c>
      <c r="I71" t="str">
        <v>India</v>
      </c>
    </row>
    <row r="72" spans="1:9" x14ac:dyDescent="0.35">
      <c r="A72" t="str">
        <v>Smartphone, Keyboard, Smart Watch</v>
      </c>
      <c r="E72" t="str">
        <v>Consumer</v>
      </c>
      <c r="I72" t="str">
        <v>Nigeria</v>
      </c>
    </row>
    <row r="73" spans="1:9" x14ac:dyDescent="0.35">
      <c r="A73" t="str">
        <v>Desk Lamp, Mouse, Headphones</v>
      </c>
      <c r="E73" t="str">
        <v>Home Office</v>
      </c>
      <c r="I73" t="str">
        <v>India</v>
      </c>
    </row>
    <row r="74" spans="1:9" x14ac:dyDescent="0.35">
      <c r="A74" t="str">
        <v>Webcam, Router, Mouse</v>
      </c>
      <c r="E74" t="str">
        <v>Home Office</v>
      </c>
      <c r="I74" t="str">
        <v>Canada</v>
      </c>
    </row>
    <row r="75" spans="1:9" x14ac:dyDescent="0.35">
      <c r="A75" t="str">
        <v>Laptop, Monitor, Projector</v>
      </c>
      <c r="E75" t="str">
        <v>Consumer</v>
      </c>
      <c r="I75" t="str">
        <v>India</v>
      </c>
    </row>
    <row r="76" spans="1:9" x14ac:dyDescent="0.35">
      <c r="A76" t="str">
        <v>Webcam, Smartphone, Tablet</v>
      </c>
      <c r="E76" t="str">
        <v>Consumer</v>
      </c>
      <c r="I76" t="str">
        <v>USA</v>
      </c>
    </row>
    <row r="77" spans="1:9" x14ac:dyDescent="0.35">
      <c r="A77" t="str">
        <v>Speaker, Projector, Tablet</v>
      </c>
      <c r="E77" t="str">
        <v>Home Office</v>
      </c>
      <c r="I77" t="str">
        <v>UK</v>
      </c>
    </row>
    <row r="78" spans="1:9" x14ac:dyDescent="0.35">
      <c r="A78" t="str">
        <v>Desk Lamp, External Hard Drive, Headphones, Projector, Desk Chair</v>
      </c>
      <c r="E78" t="str">
        <v>Corporate</v>
      </c>
      <c r="I78" t="str">
        <v>UK</v>
      </c>
    </row>
    <row r="79" spans="1:9" x14ac:dyDescent="0.35">
      <c r="A79" t="str">
        <v>Tablet, External Hard Drive, Laptop, Smart Watch, Printer</v>
      </c>
      <c r="E79" t="str">
        <v>Corporate</v>
      </c>
      <c r="I79" t="str">
        <v>USA</v>
      </c>
    </row>
    <row r="80" spans="1:9" x14ac:dyDescent="0.35">
      <c r="A80" t="str">
        <v>Webcam, Desk Chair, Smartphone, Laptop</v>
      </c>
      <c r="E80" t="str">
        <v>Corporate</v>
      </c>
      <c r="I80" t="str">
        <v>Brazil</v>
      </c>
    </row>
    <row r="81" spans="1:9" x14ac:dyDescent="0.35">
      <c r="A81" t="str">
        <v>Headphones, Desk Lamp, Keyboard</v>
      </c>
      <c r="E81" t="str">
        <v>Consumer</v>
      </c>
      <c r="I81" t="str">
        <v>Japan</v>
      </c>
    </row>
    <row r="82" spans="1:9" x14ac:dyDescent="0.35">
      <c r="A82" t="str">
        <v>Tablet, Router, Mouse</v>
      </c>
      <c r="E82" t="str">
        <v>Corporate</v>
      </c>
      <c r="I82" t="str">
        <v>Canada</v>
      </c>
    </row>
    <row r="83" spans="1:9" x14ac:dyDescent="0.35">
      <c r="A83" t="str">
        <v>Desk Chair, Laptop, Speaker</v>
      </c>
      <c r="E83" t="str">
        <v>Corporate</v>
      </c>
      <c r="I83" t="str">
        <v>UK</v>
      </c>
    </row>
    <row r="84" spans="1:9" x14ac:dyDescent="0.35">
      <c r="A84" t="str">
        <v>Router, Printer, Smart Watch, Keyboard</v>
      </c>
      <c r="E84" t="str">
        <v>Corporate</v>
      </c>
      <c r="I84" t="str">
        <v>Nigeria</v>
      </c>
    </row>
    <row r="85" spans="1:9" x14ac:dyDescent="0.35">
      <c r="A85" t="str">
        <v>Speaker, Printer, Mouse, Smart Watch, Desk Lamp</v>
      </c>
      <c r="E85" t="str">
        <v>Home Office</v>
      </c>
      <c r="I85" t="str">
        <v>Nigeria</v>
      </c>
    </row>
    <row r="86" spans="1:9" x14ac:dyDescent="0.35">
      <c r="A86" t="str">
        <v>Router, Speaker, Printer, Smart Watch, Monitor</v>
      </c>
      <c r="E86" t="str">
        <v>Home Office</v>
      </c>
      <c r="I86" t="str">
        <v>France</v>
      </c>
    </row>
    <row r="87" spans="1:9" x14ac:dyDescent="0.35">
      <c r="A87" t="str">
        <v>Laptop, Smartphone, Mouse</v>
      </c>
      <c r="E87" t="str">
        <v>Consumer</v>
      </c>
      <c r="I87" t="str">
        <v>UK</v>
      </c>
    </row>
    <row r="88" spans="1:9" x14ac:dyDescent="0.35">
      <c r="A88" t="str">
        <v>Desk Lamp, Webcam, Headphones</v>
      </c>
      <c r="E88" t="str">
        <v>Home Office</v>
      </c>
      <c r="I88" t="str">
        <v>France</v>
      </c>
    </row>
    <row r="89" spans="1:9" x14ac:dyDescent="0.35">
      <c r="A89" t="str">
        <v>External Hard Drive, Mouse, Monitor, Webcam, Projector</v>
      </c>
      <c r="E89" t="str">
        <v>Home Office</v>
      </c>
      <c r="I89" t="str">
        <v>UK</v>
      </c>
    </row>
    <row r="90" spans="1:9" x14ac:dyDescent="0.35">
      <c r="A90" t="str">
        <v>Tablet, Mouse, Projector, Speaker, Smart Watch</v>
      </c>
      <c r="E90" t="str">
        <v>Corporate</v>
      </c>
      <c r="I90" t="str">
        <v>Japan</v>
      </c>
    </row>
    <row r="91" spans="1:9" x14ac:dyDescent="0.35">
      <c r="A91" t="str">
        <v>Speaker, Monitor, Smartphone</v>
      </c>
      <c r="E91" t="str">
        <v>Corporate</v>
      </c>
      <c r="I91" t="str">
        <v>Canada</v>
      </c>
    </row>
    <row r="92" spans="1:9" x14ac:dyDescent="0.35">
      <c r="A92" t="str">
        <v>Desk Chair, Smartphone, Mouse</v>
      </c>
      <c r="E92" t="str">
        <v>Corporate</v>
      </c>
      <c r="I92" t="str">
        <v>France</v>
      </c>
    </row>
    <row r="93" spans="1:9" x14ac:dyDescent="0.35">
      <c r="A93" t="str">
        <v>Printer, Router, Webcam</v>
      </c>
      <c r="E93" t="str">
        <v>Home Office</v>
      </c>
      <c r="I93" t="str">
        <v>Nigeria</v>
      </c>
    </row>
    <row r="94" spans="1:9" x14ac:dyDescent="0.35">
      <c r="A94" t="str">
        <v>Headphones, Keyboard, Desk Lamp, Webcam</v>
      </c>
      <c r="E94" t="str">
        <v>Home Office</v>
      </c>
      <c r="I94" t="str">
        <v>USA</v>
      </c>
    </row>
    <row r="95" spans="1:9" x14ac:dyDescent="0.35">
      <c r="A95" t="str">
        <v>Printer, External Hard Drive, Headphones, Monitor, Smartphone</v>
      </c>
      <c r="E95" t="str">
        <v>Home Office</v>
      </c>
      <c r="I95" t="str">
        <v>Nigeria</v>
      </c>
    </row>
    <row r="96" spans="1:9" x14ac:dyDescent="0.35">
      <c r="A96" t="str">
        <v>Printer, Smartphone, Smart Watch, Keyboard, Laptop</v>
      </c>
      <c r="E96" t="str">
        <v>Corporate</v>
      </c>
      <c r="I96" t="str">
        <v>Germany</v>
      </c>
    </row>
    <row r="97" spans="1:9" x14ac:dyDescent="0.35">
      <c r="A97" t="str">
        <v>Tablet, Laptop, Projector, Monitor, Desk Chair</v>
      </c>
      <c r="E97" t="str">
        <v>Consumer</v>
      </c>
      <c r="I97" t="str">
        <v>USA</v>
      </c>
    </row>
    <row r="98" spans="1:9" x14ac:dyDescent="0.35">
      <c r="A98" t="str">
        <v>Router, Keyboard, Mouse, Headphones</v>
      </c>
      <c r="E98" t="str">
        <v>Home Office</v>
      </c>
      <c r="I98" t="str">
        <v>Brazil</v>
      </c>
    </row>
    <row r="99" spans="1:9" x14ac:dyDescent="0.35">
      <c r="A99" t="str">
        <v>Headphones, Webcam, Router, Desk Lamp, Desk Chair</v>
      </c>
      <c r="E99" t="str">
        <v>Home Office</v>
      </c>
      <c r="I99" t="str">
        <v>Nigeria</v>
      </c>
    </row>
    <row r="100" spans="1:9" x14ac:dyDescent="0.35">
      <c r="A100" t="str">
        <v>Webcam, Headphones, Printer, External Hard Drive, Projector</v>
      </c>
      <c r="E100" t="str">
        <v>Home Office</v>
      </c>
      <c r="I100" t="str">
        <v>Australia</v>
      </c>
    </row>
    <row r="101" spans="1:9" x14ac:dyDescent="0.35">
      <c r="A101" t="str">
        <v>Keyboard, Desk Chair, Laptop, Smart Watch, Speaker</v>
      </c>
      <c r="E101" t="str">
        <v>Home Office</v>
      </c>
      <c r="I101" t="str">
        <v>Australia</v>
      </c>
    </row>
    <row r="102" spans="1:9" x14ac:dyDescent="0.35">
      <c r="A102" t="str">
        <v>Router, Speaker, Desk Lamp</v>
      </c>
      <c r="E102" t="str">
        <v>Corporate</v>
      </c>
      <c r="I102" t="str">
        <v>Australia</v>
      </c>
    </row>
    <row r="103" spans="1:9" x14ac:dyDescent="0.35">
      <c r="A103" t="str">
        <v>Webcam, Mouse, Speaker</v>
      </c>
      <c r="E103" t="str">
        <v>Consumer</v>
      </c>
      <c r="I103" t="str">
        <v>India</v>
      </c>
    </row>
    <row r="104" spans="1:9" x14ac:dyDescent="0.35">
      <c r="A104" t="str">
        <v>Desk Chair, Monitor, Mouse</v>
      </c>
      <c r="E104" t="str">
        <v>Home Office</v>
      </c>
      <c r="I104" t="str">
        <v>Brazil</v>
      </c>
    </row>
    <row r="105" spans="1:9" x14ac:dyDescent="0.35">
      <c r="A105" t="str">
        <v>Webcam, Smart Watch, Headphones</v>
      </c>
      <c r="E105" t="str">
        <v>Corporate</v>
      </c>
      <c r="I105" t="str">
        <v>Germany</v>
      </c>
    </row>
    <row r="106" spans="1:9" x14ac:dyDescent="0.35">
      <c r="A106" t="str">
        <v>Monitor, Router, Tablet, Smart Watch, External Hard Drive</v>
      </c>
      <c r="E106" t="str">
        <v>Home Office</v>
      </c>
      <c r="I106" t="str">
        <v>Nigeria</v>
      </c>
    </row>
    <row r="107" spans="1:9" x14ac:dyDescent="0.35">
      <c r="A107" t="str">
        <v>External Hard Drive, Router, Speaker, Headphones, Tablet</v>
      </c>
      <c r="E107" t="str">
        <v>Home Office</v>
      </c>
      <c r="I107" t="str">
        <v>UK</v>
      </c>
    </row>
    <row r="108" spans="1:9" x14ac:dyDescent="0.35">
      <c r="A108" t="str">
        <v>Router, Laptop, Speaker, Projector, Smartphone</v>
      </c>
      <c r="E108" t="str">
        <v>Corporate</v>
      </c>
      <c r="I108" t="str">
        <v>Brazil</v>
      </c>
    </row>
    <row r="109" spans="1:9" x14ac:dyDescent="0.35">
      <c r="A109" t="str">
        <v>Printer, Router, Monitor, Keyboard, Headphones</v>
      </c>
      <c r="E109" t="str">
        <v>Home Office</v>
      </c>
      <c r="I109" t="str">
        <v>France</v>
      </c>
    </row>
    <row r="110" spans="1:9" x14ac:dyDescent="0.35">
      <c r="A110" t="str">
        <v>Projector, Keyboard, Desk Chair, Router</v>
      </c>
      <c r="E110" t="str">
        <v>Home Office</v>
      </c>
      <c r="I110" t="str">
        <v>India</v>
      </c>
    </row>
    <row r="111" spans="1:9" x14ac:dyDescent="0.35">
      <c r="A111" t="str">
        <v>Monitor, Speaker, Printer, Smart Watch</v>
      </c>
      <c r="E111" t="str">
        <v>Corporate</v>
      </c>
      <c r="I111" t="str">
        <v>Brazil</v>
      </c>
    </row>
    <row r="112" spans="1:9" x14ac:dyDescent="0.35">
      <c r="A112" t="str">
        <v>Headphones, Router, Monitor, Desk Chair</v>
      </c>
      <c r="E112" t="str">
        <v>Home Office</v>
      </c>
      <c r="I112" t="str">
        <v>Australia</v>
      </c>
    </row>
    <row r="113" spans="1:9" x14ac:dyDescent="0.35">
      <c r="A113" t="str">
        <v>Router, Headphones, Desk Chair, Printer, Monitor</v>
      </c>
      <c r="E113" t="str">
        <v>Consumer</v>
      </c>
      <c r="I113" t="str">
        <v>Australia</v>
      </c>
    </row>
    <row r="114" spans="1:9" x14ac:dyDescent="0.35">
      <c r="A114" t="str">
        <v>External Hard Drive, Desk Lamp, Headphones, Printer</v>
      </c>
      <c r="E114" t="str">
        <v>Home Office</v>
      </c>
      <c r="I114" t="str">
        <v>Canada</v>
      </c>
    </row>
    <row r="115" spans="1:9" x14ac:dyDescent="0.35">
      <c r="A115" t="str">
        <v>Desk Lamp, Laptop, Router, Speaker</v>
      </c>
      <c r="E115" t="str">
        <v>Home Office</v>
      </c>
      <c r="I115" t="str">
        <v>Nigeria</v>
      </c>
    </row>
    <row r="116" spans="1:9" x14ac:dyDescent="0.35">
      <c r="A116" t="str">
        <v>Keyboard, Printer, Monitor, Router, Mouse</v>
      </c>
      <c r="E116" t="str">
        <v>Home Office</v>
      </c>
      <c r="I116" t="str">
        <v>Germany</v>
      </c>
    </row>
    <row r="117" spans="1:9" x14ac:dyDescent="0.35">
      <c r="A117" t="str">
        <v>External Hard Drive, Laptop, Tablet, Speaker, Headphones</v>
      </c>
      <c r="E117" t="str">
        <v>Corporate</v>
      </c>
      <c r="I117" t="str">
        <v>UK</v>
      </c>
    </row>
    <row r="118" spans="1:9" x14ac:dyDescent="0.35">
      <c r="A118" t="str">
        <v>Router, Speaker, Tablet</v>
      </c>
      <c r="E118" t="str">
        <v>Consumer</v>
      </c>
      <c r="I118" t="str">
        <v>Japan</v>
      </c>
    </row>
    <row r="119" spans="1:9" x14ac:dyDescent="0.35">
      <c r="A119" t="str">
        <v>Desk Lamp, External Hard Drive, Projector</v>
      </c>
      <c r="E119" t="str">
        <v>Corporate</v>
      </c>
      <c r="I119" t="str">
        <v>Canada</v>
      </c>
    </row>
    <row r="120" spans="1:9" x14ac:dyDescent="0.35">
      <c r="A120" t="str">
        <v>Tablet, Webcam, Headphones</v>
      </c>
      <c r="E120" t="str">
        <v>Consumer</v>
      </c>
      <c r="I120" t="str">
        <v>France</v>
      </c>
    </row>
    <row r="121" spans="1:9" x14ac:dyDescent="0.35">
      <c r="A121" t="str">
        <v>Router, Monitor, Desk Chair, Laptop</v>
      </c>
      <c r="E121" t="str">
        <v>Corporate</v>
      </c>
      <c r="I121" t="str">
        <v>Nigeria</v>
      </c>
    </row>
    <row r="122" spans="1:9" x14ac:dyDescent="0.35">
      <c r="A122" t="str">
        <v>Speaker, External Hard Drive, Smart Watch, Router, Desk Chair</v>
      </c>
      <c r="E122" t="str">
        <v>Corporate</v>
      </c>
      <c r="I122" t="str">
        <v>France</v>
      </c>
    </row>
    <row r="123" spans="1:9" x14ac:dyDescent="0.35">
      <c r="A123" t="str">
        <v>Desk Chair, Mouse, Headphones, Webcam</v>
      </c>
      <c r="E123" t="str">
        <v>Corporate</v>
      </c>
      <c r="I123" t="str">
        <v>Brazil</v>
      </c>
    </row>
    <row r="124" spans="1:9" x14ac:dyDescent="0.35">
      <c r="A124" t="str">
        <v>Smartphone, Projector, Mouse, Keyboard, Headphones</v>
      </c>
      <c r="E124" t="str">
        <v>Corporate</v>
      </c>
      <c r="I124" t="str">
        <v>Brazil</v>
      </c>
    </row>
    <row r="125" spans="1:9" x14ac:dyDescent="0.35">
      <c r="A125" t="str">
        <v>Smart Watch, Keyboard, External Hard Drive, Monitor, Router</v>
      </c>
      <c r="E125" t="str">
        <v>Consumer</v>
      </c>
      <c r="I125" t="str">
        <v>Japan</v>
      </c>
    </row>
    <row r="126" spans="1:9" x14ac:dyDescent="0.35">
      <c r="A126" t="str">
        <v>Mouse, Router, Smart Watch, Desk Lamp, Smartphone</v>
      </c>
      <c r="E126" t="str">
        <v>Consumer</v>
      </c>
      <c r="I126" t="str">
        <v>Germany</v>
      </c>
    </row>
    <row r="127" spans="1:9" x14ac:dyDescent="0.35">
      <c r="A127" t="str">
        <v>Laptop, Printer, Projector, Smart Watch, Webcam</v>
      </c>
      <c r="E127" t="str">
        <v>Consumer</v>
      </c>
      <c r="I127" t="str">
        <v>India</v>
      </c>
    </row>
    <row r="128" spans="1:9" x14ac:dyDescent="0.35">
      <c r="A128" t="str">
        <v>Laptop, Mouse, Desk Chair, Projector</v>
      </c>
      <c r="E128" t="str">
        <v>Corporate</v>
      </c>
      <c r="I128" t="str">
        <v>USA</v>
      </c>
    </row>
    <row r="129" spans="1:9" x14ac:dyDescent="0.35">
      <c r="A129" t="str">
        <v>Speaker, Mouse, Headphones, Desk Lamp</v>
      </c>
      <c r="E129" t="str">
        <v>Corporate</v>
      </c>
      <c r="I129" t="str">
        <v>UK</v>
      </c>
    </row>
    <row r="130" spans="1:9" x14ac:dyDescent="0.35">
      <c r="A130" t="str">
        <v>Monitor, Smartphone, Tablet, Mouse, Headphones</v>
      </c>
      <c r="E130" t="str">
        <v>Home Office</v>
      </c>
      <c r="I130" t="str">
        <v>Australia</v>
      </c>
    </row>
    <row r="131" spans="1:9" x14ac:dyDescent="0.35">
      <c r="A131" t="str">
        <v>Smart Watch, Headphones, Projector</v>
      </c>
      <c r="E131" t="str">
        <v>Corporate</v>
      </c>
      <c r="I131" t="str">
        <v>Australia</v>
      </c>
    </row>
    <row r="132" spans="1:9" x14ac:dyDescent="0.35">
      <c r="A132" t="str">
        <v>Speaker, Tablet, External Hard Drive</v>
      </c>
      <c r="E132" t="str">
        <v>Consumer</v>
      </c>
      <c r="I132" t="str">
        <v>UK</v>
      </c>
    </row>
    <row r="133" spans="1:9" x14ac:dyDescent="0.35">
      <c r="A133" t="str">
        <v>Webcam, Router, External Hard Drive, Mouse</v>
      </c>
      <c r="E133" t="str">
        <v>Consumer</v>
      </c>
      <c r="I133" t="str">
        <v>Germany</v>
      </c>
    </row>
    <row r="134" spans="1:9" x14ac:dyDescent="0.35">
      <c r="A134" t="str">
        <v>Headphones, Smartphone, Mouse, Tablet</v>
      </c>
      <c r="E134" t="str">
        <v>Consumer</v>
      </c>
      <c r="I134" t="str">
        <v>Canada</v>
      </c>
    </row>
    <row r="135" spans="1:9" x14ac:dyDescent="0.35">
      <c r="A135" t="str">
        <v>Desk Chair, Speaker, Mouse</v>
      </c>
      <c r="E135" t="str">
        <v>Corporate</v>
      </c>
      <c r="I135" t="str">
        <v>France</v>
      </c>
    </row>
    <row r="136" spans="1:9" x14ac:dyDescent="0.35">
      <c r="A136" t="str">
        <v>Laptop, Smartphone, Tablet, Keyboard, Router</v>
      </c>
      <c r="E136" t="str">
        <v>Home Office</v>
      </c>
      <c r="I136" t="str">
        <v>UK</v>
      </c>
    </row>
    <row r="137" spans="1:9" x14ac:dyDescent="0.35">
      <c r="A137" t="str">
        <v>Webcam, External Hard Drive, Desk Lamp, Headphones</v>
      </c>
      <c r="E137" t="str">
        <v>Consumer</v>
      </c>
      <c r="I137" t="str">
        <v>UK</v>
      </c>
    </row>
    <row r="138" spans="1:9" x14ac:dyDescent="0.35">
      <c r="A138" t="str">
        <v>Desk Lamp, Projector, Printer, Mouse</v>
      </c>
      <c r="E138" t="str">
        <v>Home Office</v>
      </c>
      <c r="I138" t="str">
        <v>UK</v>
      </c>
    </row>
    <row r="139" spans="1:9" x14ac:dyDescent="0.35">
      <c r="A139" t="str">
        <v>Keyboard, Printer, Headphones</v>
      </c>
      <c r="E139" t="str">
        <v>Consumer</v>
      </c>
      <c r="I139" t="str">
        <v>Germany</v>
      </c>
    </row>
    <row r="140" spans="1:9" x14ac:dyDescent="0.35">
      <c r="A140" t="str">
        <v>Speaker, Router, Printer</v>
      </c>
      <c r="E140" t="str">
        <v>Corporate</v>
      </c>
      <c r="I140" t="str">
        <v>Japan</v>
      </c>
    </row>
    <row r="141" spans="1:9" x14ac:dyDescent="0.35">
      <c r="A141" t="str">
        <v>Smart Watch, Mouse, Keyboard</v>
      </c>
      <c r="E141" t="str">
        <v>Consumer</v>
      </c>
      <c r="I141" t="str">
        <v>UK</v>
      </c>
    </row>
    <row r="142" spans="1:9" x14ac:dyDescent="0.35">
      <c r="A142" t="str">
        <v>Router, Speaker, Projector</v>
      </c>
      <c r="E142" t="str">
        <v>Consumer</v>
      </c>
      <c r="I142" t="str">
        <v>UK</v>
      </c>
    </row>
    <row r="143" spans="1:9" x14ac:dyDescent="0.35">
      <c r="A143" t="str">
        <v>Printer, Desk Chair, Speaker, Smartphone, Headphones</v>
      </c>
      <c r="E143" t="str">
        <v>Consumer</v>
      </c>
      <c r="I143" t="str">
        <v>USA</v>
      </c>
    </row>
    <row r="144" spans="1:9" x14ac:dyDescent="0.35">
      <c r="A144" t="str">
        <v>Laptop, External Hard Drive, Mouse, Smartphone, Printer</v>
      </c>
      <c r="E144" t="str">
        <v>Consumer</v>
      </c>
      <c r="I144" t="str">
        <v>Australia</v>
      </c>
    </row>
    <row r="145" spans="1:9" x14ac:dyDescent="0.35">
      <c r="A145" t="str">
        <v>Tablet, Laptop, Keyboard, Speaker</v>
      </c>
      <c r="E145" t="str">
        <v>Corporate</v>
      </c>
      <c r="I145" t="str">
        <v>Canada</v>
      </c>
    </row>
    <row r="146" spans="1:9" x14ac:dyDescent="0.35">
      <c r="A146" t="str">
        <v>Speaker, Monitor, Mouse</v>
      </c>
      <c r="E146" t="str">
        <v>Consumer</v>
      </c>
      <c r="I146" t="str">
        <v>Nigeria</v>
      </c>
    </row>
    <row r="147" spans="1:9" x14ac:dyDescent="0.35">
      <c r="A147" t="str">
        <v>Router, Laptop, Smart Watch, Printer</v>
      </c>
      <c r="E147" t="str">
        <v>Home Office</v>
      </c>
      <c r="I147" t="str">
        <v>UK</v>
      </c>
    </row>
    <row r="148" spans="1:9" x14ac:dyDescent="0.35">
      <c r="A148" t="str">
        <v>Desk Lamp, Laptop, Smartphone, Projector, Headphones</v>
      </c>
      <c r="E148" t="str">
        <v>Consumer</v>
      </c>
      <c r="I148" t="str">
        <v>Nigeria</v>
      </c>
    </row>
    <row r="149" spans="1:9" x14ac:dyDescent="0.35">
      <c r="A149" t="str">
        <v>Smartphone, Smart Watch, Keyboard, External Hard Drive, Webcam</v>
      </c>
      <c r="E149" t="str">
        <v>Corporate</v>
      </c>
      <c r="I149" t="str">
        <v>UK</v>
      </c>
    </row>
    <row r="150" spans="1:9" x14ac:dyDescent="0.35">
      <c r="A150" t="str">
        <v>Headphones, Keyboard, Projector, External Hard Drive, Printer</v>
      </c>
      <c r="E150" t="str">
        <v>Home Office</v>
      </c>
      <c r="I150" t="str">
        <v>Nigeria</v>
      </c>
    </row>
    <row r="151" spans="1:9" x14ac:dyDescent="0.35">
      <c r="A151" t="str">
        <v>Printer, Mouse, Speaker</v>
      </c>
      <c r="E151" t="str">
        <v>Home Office</v>
      </c>
      <c r="I151" t="str">
        <v>Australia</v>
      </c>
    </row>
    <row r="152" spans="1:9" x14ac:dyDescent="0.35">
      <c r="A152" t="str">
        <v>Speaker, Desk Chair, Mouse</v>
      </c>
      <c r="E152" t="str">
        <v>Consumer</v>
      </c>
      <c r="I152" t="str">
        <v>India</v>
      </c>
    </row>
    <row r="153" spans="1:9" x14ac:dyDescent="0.35">
      <c r="A153" t="str">
        <v>Printer, Tablet, Mouse, Monitor</v>
      </c>
      <c r="E153" t="str">
        <v>Home Office</v>
      </c>
      <c r="I153" t="str">
        <v>Australia</v>
      </c>
    </row>
    <row r="154" spans="1:9" x14ac:dyDescent="0.35">
      <c r="A154" t="str">
        <v>Monitor, Speaker, Tablet, Desk Lamp, Smartphone</v>
      </c>
      <c r="E154" t="str">
        <v>Corporate</v>
      </c>
      <c r="I154" t="str">
        <v>UK</v>
      </c>
    </row>
    <row r="155" spans="1:9" x14ac:dyDescent="0.35">
      <c r="A155" t="str">
        <v>Keyboard, Smart Watch, Router, Mouse, Printer</v>
      </c>
      <c r="E155" t="str">
        <v>Corporate</v>
      </c>
      <c r="I155" t="str">
        <v>Canada</v>
      </c>
    </row>
    <row r="156" spans="1:9" x14ac:dyDescent="0.35">
      <c r="A156" t="str">
        <v>Tablet, External Hard Drive, Desk Chair, Monitor, Projector</v>
      </c>
      <c r="E156" t="str">
        <v>Corporate</v>
      </c>
      <c r="I156" t="str">
        <v>UK</v>
      </c>
    </row>
    <row r="157" spans="1:9" x14ac:dyDescent="0.35">
      <c r="A157" t="str">
        <v>External Hard Drive, Smartphone, Printer</v>
      </c>
      <c r="E157" t="str">
        <v>Home Office</v>
      </c>
      <c r="I157" t="str">
        <v>France</v>
      </c>
    </row>
    <row r="158" spans="1:9" x14ac:dyDescent="0.35">
      <c r="A158" t="str">
        <v>Keyboard, Router, Tablet, Projector, Smart Watch</v>
      </c>
      <c r="E158" t="str">
        <v>Home Office</v>
      </c>
      <c r="I158" t="str">
        <v>France</v>
      </c>
    </row>
    <row r="159" spans="1:9" x14ac:dyDescent="0.35">
      <c r="A159" t="str">
        <v>Desk Lamp, Keyboard, Speaker, Mouse, Smartphone</v>
      </c>
      <c r="E159" t="str">
        <v>Home Office</v>
      </c>
      <c r="I159" t="str">
        <v>Germany</v>
      </c>
    </row>
    <row r="160" spans="1:9" x14ac:dyDescent="0.35">
      <c r="A160" t="str">
        <v>Webcam, Printer, Speaker, Monitor, Desk Lamp</v>
      </c>
      <c r="E160" t="str">
        <v>Home Office</v>
      </c>
      <c r="I160" t="str">
        <v>Japan</v>
      </c>
    </row>
    <row r="161" spans="1:9" x14ac:dyDescent="0.35">
      <c r="A161" t="str">
        <v>Desk Lamp, Projector, Monitor, Tablet</v>
      </c>
      <c r="E161" t="str">
        <v>Consumer</v>
      </c>
      <c r="I161" t="str">
        <v>USA</v>
      </c>
    </row>
    <row r="162" spans="1:9" x14ac:dyDescent="0.35">
      <c r="A162" t="str">
        <v>Desk Chair, Webcam, Router</v>
      </c>
      <c r="E162" t="str">
        <v>Home Office</v>
      </c>
      <c r="I162" t="str">
        <v>Germany</v>
      </c>
    </row>
    <row r="163" spans="1:9" x14ac:dyDescent="0.35">
      <c r="A163" t="str">
        <v>Monitor, External Hard Drive, Webcam</v>
      </c>
      <c r="E163" t="str">
        <v>Corporate</v>
      </c>
      <c r="I163" t="str">
        <v>Brazil</v>
      </c>
    </row>
    <row r="164" spans="1:9" x14ac:dyDescent="0.35">
      <c r="A164" t="str">
        <v>Printer, Speaker, Monitor, Tablet, Smartphone</v>
      </c>
      <c r="E164" t="str">
        <v>Home Office</v>
      </c>
      <c r="I164" t="str">
        <v>India</v>
      </c>
    </row>
    <row r="165" spans="1:9" x14ac:dyDescent="0.35">
      <c r="A165" t="str">
        <v>Desk Chair, Smartphone, Tablet</v>
      </c>
      <c r="E165" t="str">
        <v>Consumer</v>
      </c>
      <c r="I165" t="str">
        <v>UK</v>
      </c>
    </row>
    <row r="166" spans="1:9" x14ac:dyDescent="0.35">
      <c r="A166" t="str">
        <v>Printer, Smart Watch, Mouse</v>
      </c>
      <c r="E166" t="str">
        <v>Home Office</v>
      </c>
      <c r="I166" t="str">
        <v>Canada</v>
      </c>
    </row>
    <row r="167" spans="1:9" x14ac:dyDescent="0.35">
      <c r="A167" t="str">
        <v>Laptop, Smart Watch, Monitor</v>
      </c>
      <c r="E167" t="str">
        <v>Consumer</v>
      </c>
      <c r="I167" t="str">
        <v>India</v>
      </c>
    </row>
    <row r="168" spans="1:9" x14ac:dyDescent="0.35">
      <c r="A168" t="str">
        <v>Desk Lamp, Keyboard, Smartphone, Headphones</v>
      </c>
      <c r="E168" t="str">
        <v>Consumer</v>
      </c>
      <c r="I168" t="str">
        <v>Nigeria</v>
      </c>
    </row>
    <row r="169" spans="1:9" x14ac:dyDescent="0.35">
      <c r="A169" t="str">
        <v>Projector, Laptop, Desk Lamp</v>
      </c>
      <c r="E169" t="str">
        <v>Consumer</v>
      </c>
      <c r="I169" t="str">
        <v>France</v>
      </c>
    </row>
    <row r="170" spans="1:9" x14ac:dyDescent="0.35">
      <c r="A170" t="str">
        <v>Smartphone, Mouse, Smart Watch, Router</v>
      </c>
      <c r="E170" t="str">
        <v>Corporate</v>
      </c>
      <c r="I170" t="str">
        <v>France</v>
      </c>
    </row>
    <row r="171" spans="1:9" x14ac:dyDescent="0.35">
      <c r="A171" t="str">
        <v>Laptop, Headphones, Tablet</v>
      </c>
      <c r="E171" t="str">
        <v>Consumer</v>
      </c>
      <c r="I171" t="str">
        <v>Australia</v>
      </c>
    </row>
    <row r="172" spans="1:9" x14ac:dyDescent="0.35">
      <c r="A172" t="str">
        <v>Smart Watch, Desk Lamp, Speaker</v>
      </c>
      <c r="E172" t="str">
        <v>Consumer</v>
      </c>
      <c r="I172" t="str">
        <v>France</v>
      </c>
    </row>
    <row r="173" spans="1:9" x14ac:dyDescent="0.35">
      <c r="A173" t="str">
        <v>Projector, Desk Chair, Monitor, Smart Watch, Printer</v>
      </c>
      <c r="E173" t="str">
        <v>Home Office</v>
      </c>
      <c r="I173" t="str">
        <v>Brazil</v>
      </c>
    </row>
    <row r="174" spans="1:9" x14ac:dyDescent="0.35">
      <c r="A174" t="str">
        <v>Projector, Keyboard, Webcam, Desk Lamp</v>
      </c>
      <c r="E174" t="str">
        <v>Home Office</v>
      </c>
      <c r="I174" t="str">
        <v>India</v>
      </c>
    </row>
    <row r="175" spans="1:9" x14ac:dyDescent="0.35">
      <c r="A175" t="str">
        <v>Printer, Desk Lamp, External Hard Drive, Monitor</v>
      </c>
      <c r="E175" t="str">
        <v>Consumer</v>
      </c>
      <c r="I175" t="str">
        <v>USA</v>
      </c>
    </row>
    <row r="176" spans="1:9" x14ac:dyDescent="0.35">
      <c r="A176" t="str">
        <v>Webcam, Desk Chair, Tablet</v>
      </c>
      <c r="E176" t="str">
        <v>Corporate</v>
      </c>
      <c r="I176" t="str">
        <v>Nigeria</v>
      </c>
    </row>
    <row r="177" spans="1:9" x14ac:dyDescent="0.35">
      <c r="A177" t="str">
        <v>Webcam, Tablet, Smartphone</v>
      </c>
      <c r="E177" t="str">
        <v>Corporate</v>
      </c>
      <c r="I177" t="str">
        <v>Australia</v>
      </c>
    </row>
    <row r="178" spans="1:9" x14ac:dyDescent="0.35">
      <c r="A178" t="str">
        <v>Router, Smartphone, Webcam, Projector, Smart Watch</v>
      </c>
      <c r="E178" t="str">
        <v>Corporate</v>
      </c>
      <c r="I178" t="str">
        <v>India</v>
      </c>
    </row>
    <row r="179" spans="1:9" x14ac:dyDescent="0.35">
      <c r="A179" t="str">
        <v>Printer, Headphones, Desk Lamp</v>
      </c>
      <c r="E179" t="str">
        <v>Consumer</v>
      </c>
      <c r="I179" t="str">
        <v>Brazil</v>
      </c>
    </row>
    <row r="180" spans="1:9" x14ac:dyDescent="0.35">
      <c r="A180" t="str">
        <v>Projector, Smartphone, Webcam</v>
      </c>
      <c r="E180" t="str">
        <v>Home Office</v>
      </c>
      <c r="I180" t="str">
        <v>Germany</v>
      </c>
    </row>
    <row r="181" spans="1:9" x14ac:dyDescent="0.35">
      <c r="A181" t="str">
        <v>Tablet, Monitor, Speaker</v>
      </c>
      <c r="E181" t="str">
        <v>Corporate</v>
      </c>
      <c r="I181" t="str">
        <v>Japan</v>
      </c>
    </row>
    <row r="182" spans="1:9" x14ac:dyDescent="0.35">
      <c r="A182" t="str">
        <v>Laptop, External Hard Drive, Desk Chair</v>
      </c>
      <c r="E182" t="str">
        <v>Corporate</v>
      </c>
      <c r="I182" t="str">
        <v>Nigeria</v>
      </c>
    </row>
    <row r="183" spans="1:9" x14ac:dyDescent="0.35">
      <c r="A183" t="str">
        <v>Speaker, Laptop, Desk Chair</v>
      </c>
      <c r="E183" t="str">
        <v>Corporate</v>
      </c>
      <c r="I183" t="str">
        <v>Japan</v>
      </c>
    </row>
    <row r="184" spans="1:9" x14ac:dyDescent="0.35">
      <c r="A184" t="str">
        <v>Desk Lamp, Desk Chair, Tablet</v>
      </c>
      <c r="E184" t="str">
        <v>Corporate</v>
      </c>
      <c r="I184" t="str">
        <v>USA</v>
      </c>
    </row>
    <row r="185" spans="1:9" x14ac:dyDescent="0.35">
      <c r="A185" t="str">
        <v>Mouse, Smartphone, Laptop</v>
      </c>
      <c r="E185" t="str">
        <v>Home Office</v>
      </c>
      <c r="I185" t="str">
        <v>India</v>
      </c>
    </row>
    <row r="186" spans="1:9" x14ac:dyDescent="0.35">
      <c r="A186" t="str">
        <v>Router, Desk Lamp, Webcam</v>
      </c>
      <c r="E186" t="str">
        <v>Consumer</v>
      </c>
      <c r="I186" t="str">
        <v>France</v>
      </c>
    </row>
    <row r="187" spans="1:9" x14ac:dyDescent="0.35">
      <c r="A187" t="str">
        <v>Desk Chair, Mouse, Monitor, Speaker</v>
      </c>
      <c r="E187" t="str">
        <v>Consumer</v>
      </c>
      <c r="I187" t="str">
        <v>USA</v>
      </c>
    </row>
    <row r="188" spans="1:9" x14ac:dyDescent="0.35">
      <c r="A188" t="str">
        <v>Keyboard, Smartphone, Desk Chair, Printer, Router</v>
      </c>
      <c r="E188" t="str">
        <v>Consumer</v>
      </c>
      <c r="I188" t="str">
        <v>Nigeria</v>
      </c>
    </row>
    <row r="189" spans="1:9" x14ac:dyDescent="0.35">
      <c r="A189" t="str">
        <v>Printer, Projector, Smartphone</v>
      </c>
      <c r="E189" t="str">
        <v>Home Office</v>
      </c>
      <c r="I189" t="str">
        <v>Australia</v>
      </c>
    </row>
    <row r="190" spans="1:9" x14ac:dyDescent="0.35">
      <c r="A190" t="str">
        <v>Monitor, Smart Watch, Smartphone, Headphones, Mouse</v>
      </c>
      <c r="E190" t="str">
        <v>Corporate</v>
      </c>
      <c r="I190" t="str">
        <v>Japan</v>
      </c>
    </row>
    <row r="191" spans="1:9" x14ac:dyDescent="0.35">
      <c r="A191" t="str">
        <v>Headphones, Mouse, Desk Chair, Monitor</v>
      </c>
      <c r="E191" t="str">
        <v>Home Office</v>
      </c>
      <c r="I191" t="str">
        <v>Canada</v>
      </c>
    </row>
    <row r="192" spans="1:9" x14ac:dyDescent="0.35">
      <c r="A192" t="str">
        <v>Desk Lamp, Monitor, Mouse, Webcam</v>
      </c>
      <c r="E192" t="str">
        <v>Consumer</v>
      </c>
      <c r="I192" t="str">
        <v>Nigeria</v>
      </c>
    </row>
    <row r="193" spans="1:9" x14ac:dyDescent="0.35">
      <c r="A193" t="str">
        <v>Headphones, Laptop, Mouse</v>
      </c>
      <c r="E193" t="str">
        <v>Home Office</v>
      </c>
      <c r="I193" t="str">
        <v>Nigeria</v>
      </c>
    </row>
    <row r="194" spans="1:9" x14ac:dyDescent="0.35">
      <c r="A194" t="str">
        <v>Speaker, Monitor, Projector</v>
      </c>
      <c r="E194" t="str">
        <v>Home Office</v>
      </c>
      <c r="I194" t="str">
        <v>USA</v>
      </c>
    </row>
    <row r="195" spans="1:9" x14ac:dyDescent="0.35">
      <c r="A195" t="str">
        <v>Router, Webcam, Smart Watch</v>
      </c>
      <c r="E195" t="str">
        <v>Home Office</v>
      </c>
      <c r="I195" t="str">
        <v>UK</v>
      </c>
    </row>
    <row r="196" spans="1:9" x14ac:dyDescent="0.35">
      <c r="A196" t="str">
        <v>Headphones, Webcam, Keyboard, Desk Lamp, Mouse</v>
      </c>
      <c r="E196" t="str">
        <v>Home Office</v>
      </c>
      <c r="I196" t="str">
        <v>USA</v>
      </c>
    </row>
    <row r="197" spans="1:9" x14ac:dyDescent="0.35">
      <c r="A197" t="str">
        <v>Speaker, Desk Chair, Monitor</v>
      </c>
      <c r="E197" t="str">
        <v>Corporate</v>
      </c>
      <c r="I197" t="str">
        <v>Nigeria</v>
      </c>
    </row>
    <row r="198" spans="1:9" x14ac:dyDescent="0.35">
      <c r="A198" t="str">
        <v>Desk Chair, External Hard Drive, Monitor, Projector, Smart Watch</v>
      </c>
      <c r="E198" t="str">
        <v>Corporate</v>
      </c>
      <c r="I198" t="str">
        <v>Australia</v>
      </c>
    </row>
    <row r="199" spans="1:9" x14ac:dyDescent="0.35">
      <c r="A199" t="str">
        <v>Router, Laptop, External Hard Drive, Desk Lamp</v>
      </c>
      <c r="E199" t="str">
        <v>Consumer</v>
      </c>
      <c r="I199" t="str">
        <v>Brazil</v>
      </c>
    </row>
    <row r="200" spans="1:9" x14ac:dyDescent="0.35">
      <c r="A200" t="str">
        <v>Keyboard, Printer, Tablet, External Hard Drive</v>
      </c>
      <c r="E200" t="str">
        <v>Home Office</v>
      </c>
      <c r="I200" t="str">
        <v>USA</v>
      </c>
    </row>
    <row r="201" spans="1:9" x14ac:dyDescent="0.35">
      <c r="A201" t="str">
        <v>Desk Lamp, Desk Chair, Monitor, Smart Watch, Printer</v>
      </c>
      <c r="E201" t="str">
        <v>Corporate</v>
      </c>
      <c r="I201" t="str">
        <v>Australia</v>
      </c>
    </row>
    <row r="202" spans="1:9" x14ac:dyDescent="0.35">
      <c r="A202" t="str">
        <v>Smartphone, Desk Chair, External Hard Drive, Desk Lamp</v>
      </c>
      <c r="E202" t="str">
        <v>Home Office</v>
      </c>
      <c r="I202" t="str">
        <v>Australia</v>
      </c>
    </row>
    <row r="203" spans="1:9" x14ac:dyDescent="0.35">
      <c r="A203" t="str">
        <v>Desk Lamp, Monitor, Router</v>
      </c>
      <c r="E203" t="str">
        <v>Home Office</v>
      </c>
      <c r="I203" t="str">
        <v>UK</v>
      </c>
    </row>
    <row r="204" spans="1:9" x14ac:dyDescent="0.35">
      <c r="A204" t="str">
        <v>Desk Lamp, Router, Smart Watch, Printer, Speaker</v>
      </c>
      <c r="E204" t="str">
        <v>Corporate</v>
      </c>
      <c r="I204" t="str">
        <v>UK</v>
      </c>
    </row>
    <row r="205" spans="1:9" x14ac:dyDescent="0.35">
      <c r="A205" t="str">
        <v>Keyboard, Tablet, Router</v>
      </c>
      <c r="E205" t="str">
        <v>Consumer</v>
      </c>
      <c r="I205" t="str">
        <v>Nigeria</v>
      </c>
    </row>
    <row r="206" spans="1:9" x14ac:dyDescent="0.35">
      <c r="A206" t="str">
        <v>Tablet, Speaker, Projector, Desk Chair, Router</v>
      </c>
      <c r="E206" t="str">
        <v>Home Office</v>
      </c>
      <c r="I206" t="str">
        <v>UK</v>
      </c>
    </row>
    <row r="207" spans="1:9" x14ac:dyDescent="0.35">
      <c r="A207" t="str">
        <v>Headphones, Printer, Desk Lamp, Monitor</v>
      </c>
      <c r="E207" t="str">
        <v>Home Office</v>
      </c>
      <c r="I207" t="str">
        <v>Germany</v>
      </c>
    </row>
    <row r="208" spans="1:9" x14ac:dyDescent="0.35">
      <c r="A208" t="str">
        <v>Monitor, Smart Watch, Tablet</v>
      </c>
      <c r="E208" t="str">
        <v>Home Office</v>
      </c>
      <c r="I208" t="str">
        <v>Canada</v>
      </c>
    </row>
    <row r="209" spans="1:9" x14ac:dyDescent="0.35">
      <c r="A209" t="str">
        <v>Speaker, Router, External Hard Drive</v>
      </c>
      <c r="E209" t="str">
        <v>Home Office</v>
      </c>
      <c r="I209" t="str">
        <v>Brazil</v>
      </c>
    </row>
    <row r="210" spans="1:9" x14ac:dyDescent="0.35">
      <c r="A210" t="str">
        <v>Headphones, Webcam, Tablet</v>
      </c>
      <c r="E210" t="str">
        <v>Home Office</v>
      </c>
      <c r="I210" t="str">
        <v>Australia</v>
      </c>
    </row>
    <row r="211" spans="1:9" x14ac:dyDescent="0.35">
      <c r="A211" t="str">
        <v>Desk Lamp, Printer, Mouse</v>
      </c>
      <c r="E211" t="str">
        <v>Home Office</v>
      </c>
      <c r="I211" t="str">
        <v>India</v>
      </c>
    </row>
    <row r="212" spans="1:9" x14ac:dyDescent="0.35">
      <c r="A212" t="str">
        <v>Keyboard, Router, Desk Chair, Printer</v>
      </c>
      <c r="E212" t="str">
        <v>Home Office</v>
      </c>
      <c r="I212" t="str">
        <v>France</v>
      </c>
    </row>
    <row r="213" spans="1:9" x14ac:dyDescent="0.35">
      <c r="A213" t="str">
        <v>External Hard Drive, Laptop, Smart Watch</v>
      </c>
      <c r="E213" t="str">
        <v>Corporate</v>
      </c>
      <c r="I213" t="str">
        <v>UK</v>
      </c>
    </row>
    <row r="214" spans="1:9" x14ac:dyDescent="0.35">
      <c r="A214" t="str">
        <v>Smart Watch, Projector, Smartphone, Monitor, Desk Lamp</v>
      </c>
      <c r="E214" t="str">
        <v>Consumer</v>
      </c>
      <c r="I214" t="str">
        <v>Nigeria</v>
      </c>
    </row>
    <row r="215" spans="1:9" x14ac:dyDescent="0.35">
      <c r="A215" t="str">
        <v>Smart Watch, Webcam, Laptop, Speaker, Mouse</v>
      </c>
      <c r="E215" t="str">
        <v>Consumer</v>
      </c>
      <c r="I215" t="str">
        <v>Australia</v>
      </c>
    </row>
    <row r="216" spans="1:9" x14ac:dyDescent="0.35">
      <c r="A216" t="str">
        <v>Tablet, Desk Chair, Keyboard</v>
      </c>
      <c r="E216" t="str">
        <v>Corporate</v>
      </c>
      <c r="I216" t="str">
        <v>UK</v>
      </c>
    </row>
    <row r="217" spans="1:9" x14ac:dyDescent="0.35">
      <c r="A217" t="str">
        <v>Webcam, Projector, Mouse, Tablet, Monitor</v>
      </c>
      <c r="E217" t="str">
        <v>Home Office</v>
      </c>
      <c r="I217" t="str">
        <v>Germany</v>
      </c>
    </row>
    <row r="218" spans="1:9" x14ac:dyDescent="0.35">
      <c r="A218" t="str">
        <v>External Hard Drive, Router, Monitor, Smartphone, Keyboard</v>
      </c>
      <c r="E218" t="str">
        <v>Home Office</v>
      </c>
      <c r="I218" t="str">
        <v>Japan</v>
      </c>
    </row>
    <row r="219" spans="1:9" x14ac:dyDescent="0.35">
      <c r="A219" t="str">
        <v>Headphones, Mouse, Router, Desk Lamp</v>
      </c>
      <c r="E219" t="str">
        <v>Home Office</v>
      </c>
      <c r="I219" t="str">
        <v>Australia</v>
      </c>
    </row>
    <row r="220" spans="1:9" x14ac:dyDescent="0.35">
      <c r="A220" t="str">
        <v>Keyboard, Router, Printer, Speaker, Smart Watch</v>
      </c>
      <c r="E220" t="str">
        <v>Home Office</v>
      </c>
      <c r="I220" t="str">
        <v>Nigeria</v>
      </c>
    </row>
    <row r="221" spans="1:9" x14ac:dyDescent="0.35">
      <c r="A221" t="str">
        <v>Desk Chair, Keyboard, External Hard Drive, Printer</v>
      </c>
      <c r="E221" t="str">
        <v>Corporate</v>
      </c>
      <c r="I221" t="str">
        <v>India</v>
      </c>
    </row>
    <row r="222" spans="1:9" x14ac:dyDescent="0.35">
      <c r="A222" t="str">
        <v>Smart Watch, Speaker, Webcam</v>
      </c>
      <c r="E222" t="str">
        <v>Corporate</v>
      </c>
      <c r="I222" t="str">
        <v>USA</v>
      </c>
    </row>
    <row r="223" spans="1:9" x14ac:dyDescent="0.35">
      <c r="A223" t="str">
        <v>Router, Keyboard, Monitor, External Hard Drive</v>
      </c>
      <c r="E223" t="str">
        <v>Corporate</v>
      </c>
      <c r="I223" t="str">
        <v>Australia</v>
      </c>
    </row>
    <row r="224" spans="1:9" x14ac:dyDescent="0.35">
      <c r="A224" t="str">
        <v>Projector, Desk Lamp, Mouse</v>
      </c>
      <c r="E224" t="str">
        <v>Consumer</v>
      </c>
      <c r="I224" t="str">
        <v>UK</v>
      </c>
    </row>
    <row r="225" spans="1:9" x14ac:dyDescent="0.35">
      <c r="A225" t="str">
        <v>Smartphone, Smart Watch, Tablet, Monitor, Desk Chair</v>
      </c>
      <c r="E225" t="str">
        <v>Corporate</v>
      </c>
      <c r="I225" t="str">
        <v>India</v>
      </c>
    </row>
    <row r="226" spans="1:9" x14ac:dyDescent="0.35">
      <c r="A226" t="str">
        <v>Webcam, Smartphone, Desk Lamp, External Hard Drive</v>
      </c>
      <c r="E226" t="str">
        <v>Corporate</v>
      </c>
      <c r="I226" t="str">
        <v>Japan</v>
      </c>
    </row>
    <row r="227" spans="1:9" x14ac:dyDescent="0.35">
      <c r="A227" t="str">
        <v>Projector, Router, Mouse, Monitor</v>
      </c>
      <c r="E227" t="str">
        <v>Corporate</v>
      </c>
      <c r="I227" t="str">
        <v>UK</v>
      </c>
    </row>
    <row r="228" spans="1:9" x14ac:dyDescent="0.35">
      <c r="A228" t="str">
        <v>Desk Chair, Keyboard, Projector, Monitor</v>
      </c>
      <c r="E228" t="str">
        <v>Corporate</v>
      </c>
      <c r="I228" t="str">
        <v>Australia</v>
      </c>
    </row>
    <row r="229" spans="1:9" x14ac:dyDescent="0.35">
      <c r="A229" t="str">
        <v>Printer, Router, Headphones, External Hard Drive, Webcam</v>
      </c>
      <c r="E229" t="str">
        <v>Corporate</v>
      </c>
      <c r="I229" t="str">
        <v>UK</v>
      </c>
    </row>
    <row r="230" spans="1:9" x14ac:dyDescent="0.35">
      <c r="A230" t="str">
        <v>Smartphone, Desk Chair, Webcam, Keyboard</v>
      </c>
      <c r="E230" t="str">
        <v>Corporate</v>
      </c>
      <c r="I230" t="str">
        <v>Germany</v>
      </c>
    </row>
    <row r="231" spans="1:9" x14ac:dyDescent="0.35">
      <c r="A231" t="str">
        <v>Router, Mouse, Webcam, Desk Lamp, External Hard Drive</v>
      </c>
      <c r="E231" t="str">
        <v>Home Office</v>
      </c>
      <c r="I231" t="str">
        <v>USA</v>
      </c>
    </row>
    <row r="232" spans="1:9" x14ac:dyDescent="0.35">
      <c r="A232" t="str">
        <v>Smartphone, Laptop, Router, Desk Chair, External Hard Drive</v>
      </c>
      <c r="E232" t="str">
        <v>Consumer</v>
      </c>
      <c r="I232" t="str">
        <v>Japan</v>
      </c>
    </row>
    <row r="233" spans="1:9" x14ac:dyDescent="0.35">
      <c r="A233" t="str">
        <v>Desk Chair, Headphones, Desk Lamp</v>
      </c>
      <c r="E233" t="str">
        <v>Corporate</v>
      </c>
      <c r="I233" t="str">
        <v>USA</v>
      </c>
    </row>
    <row r="234" spans="1:9" x14ac:dyDescent="0.35">
      <c r="A234" t="str">
        <v>Router, Projector, Keyboard, Speaker, Monitor</v>
      </c>
      <c r="E234" t="str">
        <v>Consumer</v>
      </c>
      <c r="I234" t="str">
        <v>USA</v>
      </c>
    </row>
    <row r="235" spans="1:9" x14ac:dyDescent="0.35">
      <c r="A235" t="str">
        <v>Smart Watch, Desk Lamp, Keyboard</v>
      </c>
      <c r="E235" t="str">
        <v>Corporate</v>
      </c>
      <c r="I235" t="str">
        <v>Canada</v>
      </c>
    </row>
    <row r="236" spans="1:9" x14ac:dyDescent="0.35">
      <c r="A236" t="str">
        <v>Desk Lamp, Monitor, Keyboard, Webcam</v>
      </c>
      <c r="E236" t="str">
        <v>Corporate</v>
      </c>
      <c r="I236" t="str">
        <v>Australia</v>
      </c>
    </row>
    <row r="237" spans="1:9" x14ac:dyDescent="0.35">
      <c r="A237" t="str">
        <v>Mouse, Printer, Desk Lamp, Laptop, Keyboard</v>
      </c>
      <c r="E237" t="str">
        <v>Corporate</v>
      </c>
      <c r="I237" t="str">
        <v>Germany</v>
      </c>
    </row>
    <row r="238" spans="1:9" x14ac:dyDescent="0.35">
      <c r="A238" t="str">
        <v>Mouse, Router, Headphones</v>
      </c>
      <c r="E238" t="str">
        <v>Consumer</v>
      </c>
      <c r="I238" t="str">
        <v>Australia</v>
      </c>
    </row>
    <row r="239" spans="1:9" x14ac:dyDescent="0.35">
      <c r="A239" t="str">
        <v>Desk Chair, Projector, Smart Watch, Printer</v>
      </c>
      <c r="E239" t="str">
        <v>Consumer</v>
      </c>
      <c r="I239" t="str">
        <v>Brazil</v>
      </c>
    </row>
    <row r="240" spans="1:9" x14ac:dyDescent="0.35">
      <c r="A240" t="str">
        <v>Smartphone, Monitor, Keyboard, Printer</v>
      </c>
      <c r="E240" t="str">
        <v>Corporate</v>
      </c>
      <c r="I240" t="str">
        <v>Australia</v>
      </c>
    </row>
    <row r="241" spans="1:9" x14ac:dyDescent="0.35">
      <c r="A241" t="str">
        <v>Desk Chair, Smart Watch, Keyboard, Laptop</v>
      </c>
      <c r="E241" t="str">
        <v>Corporate</v>
      </c>
      <c r="I241" t="str">
        <v>India</v>
      </c>
    </row>
    <row r="242" spans="1:9" x14ac:dyDescent="0.35">
      <c r="A242" t="str">
        <v>External Hard Drive, Monitor, Webcam</v>
      </c>
      <c r="E242" t="str">
        <v>Home Office</v>
      </c>
      <c r="I242" t="str">
        <v>Japan</v>
      </c>
    </row>
    <row r="243" spans="1:9" x14ac:dyDescent="0.35">
      <c r="A243" t="str">
        <v>Mouse, Headphones, Laptop, Monitor</v>
      </c>
      <c r="E243" t="str">
        <v>Corporate</v>
      </c>
      <c r="I243" t="str">
        <v>Germany</v>
      </c>
    </row>
    <row r="244" spans="1:9" x14ac:dyDescent="0.35">
      <c r="A244" t="str">
        <v>Headphones, Tablet, Desk Chair</v>
      </c>
      <c r="E244" t="str">
        <v>Home Office</v>
      </c>
      <c r="I244" t="str">
        <v>India</v>
      </c>
    </row>
    <row r="245" spans="1:9" x14ac:dyDescent="0.35">
      <c r="A245" t="str">
        <v>Headphones, Smart Watch, Router, Mouse</v>
      </c>
      <c r="E245" t="str">
        <v>Corporate</v>
      </c>
      <c r="I245" t="str">
        <v>UK</v>
      </c>
    </row>
    <row r="246" spans="1:9" x14ac:dyDescent="0.35">
      <c r="A246" t="str">
        <v>Speaker, Desk Lamp, External Hard Drive</v>
      </c>
      <c r="E246" t="str">
        <v>Home Office</v>
      </c>
      <c r="I246" t="str">
        <v>USA</v>
      </c>
    </row>
    <row r="247" spans="1:9" x14ac:dyDescent="0.35">
      <c r="A247" t="str">
        <v>Desk Chair, Headphones, Webcam</v>
      </c>
      <c r="E247" t="str">
        <v>Corporate</v>
      </c>
      <c r="I247" t="str">
        <v>Australia</v>
      </c>
    </row>
    <row r="248" spans="1:9" x14ac:dyDescent="0.35">
      <c r="A248" t="str">
        <v>Router, Webcam, Desk Chair</v>
      </c>
      <c r="E248" t="str">
        <v>Consumer</v>
      </c>
      <c r="I248" t="str">
        <v>Brazil</v>
      </c>
    </row>
    <row r="249" spans="1:9" x14ac:dyDescent="0.35">
      <c r="A249" t="str">
        <v>Smartphone, Speaker, Projector</v>
      </c>
      <c r="E249" t="str">
        <v>Consumer</v>
      </c>
      <c r="I249" t="str">
        <v>Nigeria</v>
      </c>
    </row>
    <row r="250" spans="1:9" x14ac:dyDescent="0.35">
      <c r="A250" t="str">
        <v>Desk Lamp, Printer, Router, Webcam</v>
      </c>
      <c r="E250" t="str">
        <v>Corporate</v>
      </c>
      <c r="I250" t="str">
        <v>Germany</v>
      </c>
    </row>
    <row r="251" spans="1:9" x14ac:dyDescent="0.35">
      <c r="A251" t="str">
        <v>Monitor, Tablet, Desk Chair, Router, Headphones</v>
      </c>
      <c r="E251" t="str">
        <v>Corporate</v>
      </c>
      <c r="I251" t="str">
        <v>USA</v>
      </c>
    </row>
    <row r="252" spans="1:9" x14ac:dyDescent="0.35">
      <c r="A252" t="str">
        <v>Headphones, Desk Chair, Webcam, Monitor, Speaker</v>
      </c>
      <c r="E252" t="str">
        <v>Home Office</v>
      </c>
      <c r="I252" t="str">
        <v>Brazil</v>
      </c>
    </row>
    <row r="253" spans="1:9" x14ac:dyDescent="0.35">
      <c r="A253" t="str">
        <v>External Hard Drive, Router, Projector</v>
      </c>
      <c r="E253" t="str">
        <v>Home Office</v>
      </c>
      <c r="I253" t="str">
        <v>Canada</v>
      </c>
    </row>
    <row r="254" spans="1:9" x14ac:dyDescent="0.35">
      <c r="A254" t="str">
        <v>Speaker, Headphones, Printer</v>
      </c>
      <c r="E254" t="str">
        <v>Home Office</v>
      </c>
      <c r="I254" t="str">
        <v>Japan</v>
      </c>
    </row>
    <row r="255" spans="1:9" x14ac:dyDescent="0.35">
      <c r="A255" t="str">
        <v>Router, Smartphone, Tablet, Monitor, Desk Lamp</v>
      </c>
      <c r="E255" t="str">
        <v>Consumer</v>
      </c>
      <c r="I255" t="str">
        <v>Germany</v>
      </c>
    </row>
    <row r="256" spans="1:9" x14ac:dyDescent="0.35">
      <c r="A256" t="str">
        <v>Tablet, Projector, External Hard Drive, Printer, Smartphone</v>
      </c>
      <c r="E256" t="str">
        <v>Home Office</v>
      </c>
      <c r="I256" t="str">
        <v>Australia</v>
      </c>
    </row>
    <row r="257" spans="1:9" x14ac:dyDescent="0.35">
      <c r="A257" t="str">
        <v>Webcam, Smartphone, Printer, Router</v>
      </c>
      <c r="E257" t="str">
        <v>Consumer</v>
      </c>
      <c r="I257" t="str">
        <v>UK</v>
      </c>
    </row>
    <row r="258" spans="1:9" x14ac:dyDescent="0.35">
      <c r="A258" t="str">
        <v>Router, Monitor, Printer, Smartphone, Tablet</v>
      </c>
      <c r="E258" t="str">
        <v>Home Office</v>
      </c>
      <c r="I258" t="str">
        <v>France</v>
      </c>
    </row>
    <row r="259" spans="1:9" x14ac:dyDescent="0.35">
      <c r="A259" t="str">
        <v>Tablet, Smartphone, Speaker, Desk Lamp</v>
      </c>
      <c r="E259" t="str">
        <v>Consumer</v>
      </c>
      <c r="I259" t="str">
        <v>USA</v>
      </c>
    </row>
    <row r="260" spans="1:9" x14ac:dyDescent="0.35">
      <c r="A260" t="str">
        <v>External Hard Drive, Headphones, Laptop, Projector</v>
      </c>
      <c r="E260" t="str">
        <v>Consumer</v>
      </c>
      <c r="I260" t="str">
        <v>France</v>
      </c>
    </row>
    <row r="261" spans="1:9" x14ac:dyDescent="0.35">
      <c r="A261" t="str">
        <v>Monitor, Router, Desk Lamp, External Hard Drive</v>
      </c>
      <c r="E261" t="str">
        <v>Corporate</v>
      </c>
      <c r="I261" t="str">
        <v>Germany</v>
      </c>
    </row>
    <row r="262" spans="1:9" x14ac:dyDescent="0.35">
      <c r="A262" t="str">
        <v>Speaker, Mouse, Projector, External Hard Drive, Headphones</v>
      </c>
      <c r="E262" t="str">
        <v>Home Office</v>
      </c>
      <c r="I262" t="str">
        <v>Nigeria</v>
      </c>
    </row>
    <row r="263" spans="1:9" x14ac:dyDescent="0.35">
      <c r="A263" t="str">
        <v>Router, Monitor, Webcam, External Hard Drive, Laptop</v>
      </c>
      <c r="E263" t="str">
        <v>Home Office</v>
      </c>
      <c r="I263" t="str">
        <v>Nigeria</v>
      </c>
    </row>
    <row r="264" spans="1:9" x14ac:dyDescent="0.35">
      <c r="A264" t="str">
        <v>Monitor, Keyboard, Mouse</v>
      </c>
      <c r="E264" t="str">
        <v>Corporate</v>
      </c>
      <c r="I264" t="str">
        <v>UK</v>
      </c>
    </row>
    <row r="265" spans="1:9" x14ac:dyDescent="0.35">
      <c r="A265" t="str">
        <v>Smart Watch, Desk Chair, Headphones</v>
      </c>
      <c r="E265" t="str">
        <v>Home Office</v>
      </c>
      <c r="I265" t="str">
        <v>Japan</v>
      </c>
    </row>
    <row r="266" spans="1:9" x14ac:dyDescent="0.35">
      <c r="A266" t="str">
        <v>Mouse, Webcam, Tablet, Router</v>
      </c>
      <c r="E266" t="str">
        <v>Consumer</v>
      </c>
      <c r="I266" t="str">
        <v>Brazil</v>
      </c>
    </row>
    <row r="267" spans="1:9" x14ac:dyDescent="0.35">
      <c r="A267" t="str">
        <v>Desk Chair, Headphones, Desk Lamp, Printer, Smart Watch</v>
      </c>
      <c r="E267" t="str">
        <v>Consumer</v>
      </c>
      <c r="I267" t="str">
        <v>Canada</v>
      </c>
    </row>
    <row r="268" spans="1:9" x14ac:dyDescent="0.35">
      <c r="A268" t="str">
        <v>Laptop, Mouse, Desk Chair, Tablet, Smart Watch</v>
      </c>
      <c r="E268" t="str">
        <v>Consumer</v>
      </c>
      <c r="I268" t="str">
        <v>Australia</v>
      </c>
    </row>
    <row r="269" spans="1:9" x14ac:dyDescent="0.35">
      <c r="A269" t="str">
        <v>Monitor, Smartphone, Tablet</v>
      </c>
      <c r="E269" t="str">
        <v>Consumer</v>
      </c>
      <c r="I269" t="str">
        <v>USA</v>
      </c>
    </row>
    <row r="270" spans="1:9" x14ac:dyDescent="0.35">
      <c r="A270" t="str">
        <v>Desk Chair, Smartphone, Headphones, External Hard Drive</v>
      </c>
      <c r="E270" t="str">
        <v>Home Office</v>
      </c>
      <c r="I270" t="str">
        <v>India</v>
      </c>
    </row>
    <row r="271" spans="1:9" x14ac:dyDescent="0.35">
      <c r="A271" t="str">
        <v>Mouse, Projector, Laptop</v>
      </c>
      <c r="E271" t="str">
        <v>Corporate</v>
      </c>
      <c r="I271" t="str">
        <v>France</v>
      </c>
    </row>
    <row r="272" spans="1:9" x14ac:dyDescent="0.35">
      <c r="A272" t="str">
        <v>Tablet, Webcam, Printer, Desk Chair</v>
      </c>
      <c r="E272" t="str">
        <v>Home Office</v>
      </c>
      <c r="I272" t="str">
        <v>Japan</v>
      </c>
    </row>
    <row r="273" spans="1:9" x14ac:dyDescent="0.35">
      <c r="A273" t="str">
        <v>Smartphone, Tablet, Router, Smart Watch</v>
      </c>
      <c r="E273" t="str">
        <v>Home Office</v>
      </c>
      <c r="I273" t="str">
        <v>UK</v>
      </c>
    </row>
    <row r="274" spans="1:9" x14ac:dyDescent="0.35">
      <c r="A274" t="str">
        <v>External Hard Drive, Tablet, Projector, Desk Lamp</v>
      </c>
      <c r="E274" t="str">
        <v>Home Office</v>
      </c>
      <c r="I274" t="str">
        <v>France</v>
      </c>
    </row>
    <row r="275" spans="1:9" x14ac:dyDescent="0.35">
      <c r="A275" t="str">
        <v>Projector, Webcam, Router, Smart Watch, Tablet</v>
      </c>
      <c r="E275" t="str">
        <v>Corporate</v>
      </c>
      <c r="I275" t="str">
        <v>Nigeria</v>
      </c>
    </row>
    <row r="276" spans="1:9" x14ac:dyDescent="0.35">
      <c r="A276" t="str">
        <v>Keyboard, Projector, Speaker, Tablet, Webcam</v>
      </c>
      <c r="E276" t="str">
        <v>Consumer</v>
      </c>
      <c r="I276" t="str">
        <v>France</v>
      </c>
    </row>
    <row r="277" spans="1:9" x14ac:dyDescent="0.35">
      <c r="A277" t="str">
        <v>Headphones, Mouse, Smart Watch, Printer, Webcam</v>
      </c>
      <c r="E277" t="str">
        <v>Consumer</v>
      </c>
      <c r="I277" t="str">
        <v>Germany</v>
      </c>
    </row>
    <row r="278" spans="1:9" x14ac:dyDescent="0.35">
      <c r="A278" t="str">
        <v>Tablet, Smart Watch, Desk Lamp</v>
      </c>
      <c r="E278" t="str">
        <v>Consumer</v>
      </c>
      <c r="I278" t="str">
        <v>Nigeria</v>
      </c>
    </row>
    <row r="279" spans="1:9" x14ac:dyDescent="0.35">
      <c r="A279" t="str">
        <v>Projector, Smartphone, External Hard Drive, Headphones, Laptop</v>
      </c>
      <c r="E279" t="str">
        <v>Consumer</v>
      </c>
      <c r="I279" t="str">
        <v>USA</v>
      </c>
    </row>
    <row r="280" spans="1:9" x14ac:dyDescent="0.35">
      <c r="A280" t="str">
        <v>Projector, Laptop, Monitor</v>
      </c>
      <c r="E280" t="str">
        <v>Consumer</v>
      </c>
      <c r="I280" t="str">
        <v>USA</v>
      </c>
    </row>
    <row r="281" spans="1:9" x14ac:dyDescent="0.35">
      <c r="A281" t="str">
        <v>Projector, Tablet, Keyboard, Printer</v>
      </c>
      <c r="E281" t="str">
        <v>Corporate</v>
      </c>
      <c r="I281" t="str">
        <v>India</v>
      </c>
    </row>
    <row r="282" spans="1:9" x14ac:dyDescent="0.35">
      <c r="A282" t="str">
        <v>Router, Laptop, Monitor, Smart Watch, Mouse</v>
      </c>
      <c r="E282" t="str">
        <v>Home Office</v>
      </c>
      <c r="I282" t="str">
        <v>Canada</v>
      </c>
    </row>
    <row r="283" spans="1:9" x14ac:dyDescent="0.35">
      <c r="A283" t="str">
        <v>Speaker, Smart Watch, Smartphone, Projector</v>
      </c>
      <c r="E283" t="str">
        <v>Consumer</v>
      </c>
      <c r="I283" t="str">
        <v>USA</v>
      </c>
    </row>
    <row r="284" spans="1:9" x14ac:dyDescent="0.35">
      <c r="A284" t="str">
        <v>Laptop, Mouse, Router</v>
      </c>
      <c r="E284" t="str">
        <v>Home Office</v>
      </c>
      <c r="I284" t="str">
        <v>USA</v>
      </c>
    </row>
    <row r="285" spans="1:9" x14ac:dyDescent="0.35">
      <c r="A285" t="str">
        <v>Desk Lamp, Headphones, Smart Watch, Mouse, Laptop</v>
      </c>
      <c r="E285" t="str">
        <v>Home Office</v>
      </c>
      <c r="I285" t="str">
        <v>Nigeria</v>
      </c>
    </row>
    <row r="286" spans="1:9" x14ac:dyDescent="0.35">
      <c r="A286" t="str">
        <v>Headphones, Speaker, Laptop, Printer</v>
      </c>
      <c r="E286" t="str">
        <v>Corporate</v>
      </c>
      <c r="I286" t="str">
        <v>UK</v>
      </c>
    </row>
    <row r="287" spans="1:9" x14ac:dyDescent="0.35">
      <c r="A287" t="str">
        <v>Webcam, Monitor, Speaker, Desk Lamp, Keyboard</v>
      </c>
      <c r="E287" t="str">
        <v>Corporate</v>
      </c>
      <c r="I287" t="str">
        <v>Japan</v>
      </c>
    </row>
    <row r="288" spans="1:9" x14ac:dyDescent="0.35">
      <c r="A288" t="str">
        <v>Laptop, Router, Keyboard, Smartphone</v>
      </c>
      <c r="E288" t="str">
        <v>Home Office</v>
      </c>
      <c r="I288" t="str">
        <v>UK</v>
      </c>
    </row>
    <row r="289" spans="1:9" x14ac:dyDescent="0.35">
      <c r="A289" t="str">
        <v>Desk Chair, Headphones, Tablet, Smartphone</v>
      </c>
      <c r="E289" t="str">
        <v>Consumer</v>
      </c>
      <c r="I289" t="str">
        <v>Germany</v>
      </c>
    </row>
    <row r="290" spans="1:9" x14ac:dyDescent="0.35">
      <c r="A290" t="str">
        <v>Laptop, Smart Watch, Desk Chair</v>
      </c>
      <c r="E290" t="str">
        <v>Consumer</v>
      </c>
      <c r="I290" t="str">
        <v>Canada</v>
      </c>
    </row>
    <row r="291" spans="1:9" x14ac:dyDescent="0.35">
      <c r="A291" t="str">
        <v>Tablet, Keyboard, Monitor</v>
      </c>
      <c r="E291" t="str">
        <v>Home Office</v>
      </c>
      <c r="I291" t="str">
        <v>Brazil</v>
      </c>
    </row>
    <row r="292" spans="1:9" x14ac:dyDescent="0.35">
      <c r="A292" t="str">
        <v>Mouse, Router, Keyboard, Desk Chair</v>
      </c>
      <c r="E292" t="str">
        <v>Home Office</v>
      </c>
      <c r="I292" t="str">
        <v>Canada</v>
      </c>
    </row>
    <row r="293" spans="1:9" x14ac:dyDescent="0.35">
      <c r="A293" t="str">
        <v>Smart Watch, Projector, Webcam, Headphones, Mouse</v>
      </c>
      <c r="E293" t="str">
        <v>Consumer</v>
      </c>
      <c r="I293" t="str">
        <v>France</v>
      </c>
    </row>
    <row r="294" spans="1:9" x14ac:dyDescent="0.35">
      <c r="A294" t="str">
        <v>Projector, Keyboard, Printer, Laptop</v>
      </c>
      <c r="E294" t="str">
        <v>Consumer</v>
      </c>
      <c r="I294" t="str">
        <v>USA</v>
      </c>
    </row>
    <row r="295" spans="1:9" x14ac:dyDescent="0.35">
      <c r="A295" t="str">
        <v>Desk Lamp, Keyboard, Headphones, Speaker, Laptop</v>
      </c>
      <c r="E295" t="str">
        <v>Home Office</v>
      </c>
      <c r="I295" t="str">
        <v>USA</v>
      </c>
    </row>
    <row r="296" spans="1:9" x14ac:dyDescent="0.35">
      <c r="A296" t="str">
        <v>Headphones, Mouse, Webcam, External Hard Drive, Projector</v>
      </c>
      <c r="E296" t="str">
        <v>Consumer</v>
      </c>
      <c r="I296" t="str">
        <v>Germany</v>
      </c>
    </row>
    <row r="297" spans="1:9" x14ac:dyDescent="0.35">
      <c r="A297" t="str">
        <v>Speaker, Mouse, Desk Lamp</v>
      </c>
      <c r="E297" t="str">
        <v>Corporate</v>
      </c>
      <c r="I297" t="str">
        <v>Canada</v>
      </c>
    </row>
    <row r="298" spans="1:9" x14ac:dyDescent="0.35">
      <c r="A298" t="str">
        <v>Router, Printer, Speaker, Laptop</v>
      </c>
      <c r="E298" t="str">
        <v>Home Office</v>
      </c>
      <c r="I298" t="str">
        <v>USA</v>
      </c>
    </row>
    <row r="299" spans="1:9" x14ac:dyDescent="0.35">
      <c r="A299" t="str">
        <v>Smart Watch, Router, Monitor</v>
      </c>
      <c r="E299" t="str">
        <v>Corporate</v>
      </c>
      <c r="I299" t="str">
        <v>UK</v>
      </c>
    </row>
    <row r="300" spans="1:9" x14ac:dyDescent="0.35">
      <c r="A300" t="str">
        <v>Smartphone, Projector, Headphones, Webcam, Monitor</v>
      </c>
      <c r="E300" t="str">
        <v>Home Office</v>
      </c>
      <c r="I300" t="str">
        <v>India</v>
      </c>
    </row>
    <row r="301" spans="1:9" x14ac:dyDescent="0.35">
      <c r="A301" t="str">
        <v>Printer, Mouse, External Hard Drive, Desk Lamp, Smartphone</v>
      </c>
      <c r="E301" t="str">
        <v>Home Office</v>
      </c>
      <c r="I301" t="str">
        <v>Germany</v>
      </c>
    </row>
    <row r="302" spans="1:9" x14ac:dyDescent="0.35">
      <c r="A302" t="str">
        <v>Printer, Desk Lamp, Tablet, Headphones</v>
      </c>
      <c r="E302" t="str">
        <v>Corporate</v>
      </c>
      <c r="I302" t="str">
        <v>USA</v>
      </c>
    </row>
    <row r="303" spans="1:9" x14ac:dyDescent="0.35">
      <c r="A303" t="str">
        <v>External Hard Drive, Monitor, Smartphone, Desk Chair</v>
      </c>
      <c r="E303" t="str">
        <v>Corporate</v>
      </c>
      <c r="I303" t="str">
        <v>India</v>
      </c>
    </row>
    <row r="304" spans="1:9" x14ac:dyDescent="0.35">
      <c r="A304" t="str">
        <v>Laptop, Keyboard, External Hard Drive, Smart Watch</v>
      </c>
      <c r="E304" t="str">
        <v>Home Office</v>
      </c>
      <c r="I304" t="str">
        <v>UK</v>
      </c>
    </row>
    <row r="305" spans="1:9" x14ac:dyDescent="0.35">
      <c r="A305" t="str">
        <v>Keyboard, Headphones, Mouse, Router, Desk Chair</v>
      </c>
      <c r="E305" t="str">
        <v>Corporate</v>
      </c>
      <c r="I305" t="str">
        <v>UK</v>
      </c>
    </row>
    <row r="306" spans="1:9" x14ac:dyDescent="0.35">
      <c r="A306" t="str">
        <v>Desk Lamp, Speaker, Desk Chair, Router, Webcam</v>
      </c>
      <c r="E306" t="str">
        <v>Corporate</v>
      </c>
      <c r="I306" t="str">
        <v>Australia</v>
      </c>
    </row>
    <row r="307" spans="1:9" x14ac:dyDescent="0.35">
      <c r="A307" t="str">
        <v>Laptop, Desk Chair, Monitor</v>
      </c>
      <c r="E307" t="str">
        <v>Corporate</v>
      </c>
      <c r="I307" t="str">
        <v>Australia</v>
      </c>
    </row>
    <row r="308" spans="1:9" x14ac:dyDescent="0.35">
      <c r="A308" t="str">
        <v>Webcam, Speaker, Monitor, Desk Chair, Smart Watch</v>
      </c>
      <c r="E308" t="str">
        <v>Corporate</v>
      </c>
      <c r="I308" t="str">
        <v>Australia</v>
      </c>
    </row>
    <row r="309" spans="1:9" x14ac:dyDescent="0.35">
      <c r="A309" t="str">
        <v>Keyboard, External Hard Drive, Printer, Smart Watch</v>
      </c>
      <c r="E309" t="str">
        <v>Consumer</v>
      </c>
      <c r="I309" t="str">
        <v>USA</v>
      </c>
    </row>
    <row r="310" spans="1:9" x14ac:dyDescent="0.35">
      <c r="A310" t="str">
        <v>Mouse, External Hard Drive, Smartphone, Laptop</v>
      </c>
      <c r="E310" t="str">
        <v>Corporate</v>
      </c>
      <c r="I310" t="str">
        <v>UK</v>
      </c>
    </row>
    <row r="311" spans="1:9" x14ac:dyDescent="0.35">
      <c r="A311" t="str">
        <v>Tablet, Keyboard, Speaker, Headphones</v>
      </c>
      <c r="E311" t="str">
        <v>Corporate</v>
      </c>
      <c r="I311" t="str">
        <v>Brazil</v>
      </c>
    </row>
    <row r="312" spans="1:9" x14ac:dyDescent="0.35">
      <c r="A312" t="str">
        <v>Keyboard, External Hard Drive, Smart Watch, Desk Chair</v>
      </c>
      <c r="E312" t="str">
        <v>Consumer</v>
      </c>
      <c r="I312" t="str">
        <v>Germany</v>
      </c>
    </row>
    <row r="313" spans="1:9" x14ac:dyDescent="0.35">
      <c r="A313" t="str">
        <v>Desk Chair, Tablet, Speaker</v>
      </c>
      <c r="E313" t="str">
        <v>Consumer</v>
      </c>
      <c r="I313" t="str">
        <v>USA</v>
      </c>
    </row>
    <row r="314" spans="1:9" x14ac:dyDescent="0.35">
      <c r="A314" t="str">
        <v>Tablet, Smartphone, Laptop, Speaker, Keyboard</v>
      </c>
      <c r="E314" t="str">
        <v>Home Office</v>
      </c>
      <c r="I314" t="str">
        <v>USA</v>
      </c>
    </row>
    <row r="315" spans="1:9" x14ac:dyDescent="0.35">
      <c r="A315" t="str">
        <v>Monitor, Projector, Laptop, Desk Chair, Mouse</v>
      </c>
      <c r="E315" t="str">
        <v>Consumer</v>
      </c>
      <c r="I315" t="str">
        <v>USA</v>
      </c>
    </row>
    <row r="316" spans="1:9" x14ac:dyDescent="0.35">
      <c r="A316" t="str">
        <v>Laptop, Desk Chair, Projector, Desk Lamp</v>
      </c>
      <c r="E316" t="str">
        <v>Consumer</v>
      </c>
      <c r="I316" t="str">
        <v>Germany</v>
      </c>
    </row>
    <row r="317" spans="1:9" x14ac:dyDescent="0.35">
      <c r="A317" t="str">
        <v>Headphones, Speaker, Smart Watch</v>
      </c>
      <c r="E317" t="str">
        <v>Home Office</v>
      </c>
      <c r="I317" t="str">
        <v>Brazil</v>
      </c>
    </row>
    <row r="318" spans="1:9" x14ac:dyDescent="0.35">
      <c r="A318" t="str">
        <v>Monitor, Keyboard, Router, Projector</v>
      </c>
      <c r="E318" t="str">
        <v>Home Office</v>
      </c>
      <c r="I318" t="str">
        <v>Nigeria</v>
      </c>
    </row>
    <row r="319" spans="1:9" x14ac:dyDescent="0.35">
      <c r="A319" t="str">
        <v>Webcam, Monitor, Speaker</v>
      </c>
      <c r="E319" t="str">
        <v>Corporate</v>
      </c>
      <c r="I319" t="str">
        <v>Japan</v>
      </c>
    </row>
    <row r="320" spans="1:9" x14ac:dyDescent="0.35">
      <c r="A320" t="str">
        <v>Tablet, Projector, Smart Watch, Smartphone, Router</v>
      </c>
      <c r="E320" t="str">
        <v>Home Office</v>
      </c>
      <c r="I320" t="str">
        <v>India</v>
      </c>
    </row>
    <row r="321" spans="1:9" x14ac:dyDescent="0.35">
      <c r="A321" t="str">
        <v>Tablet, Router, Smart Watch, Headphones</v>
      </c>
      <c r="E321" t="str">
        <v>Corporate</v>
      </c>
      <c r="I321" t="str">
        <v>Japan</v>
      </c>
    </row>
    <row r="322" spans="1:9" x14ac:dyDescent="0.35">
      <c r="A322" t="str">
        <v>Printer, Speaker, Monitor, Tablet</v>
      </c>
      <c r="E322" t="str">
        <v>Corporate</v>
      </c>
      <c r="I322" t="str">
        <v>Canada</v>
      </c>
    </row>
    <row r="323" spans="1:9" x14ac:dyDescent="0.35">
      <c r="A323" t="str">
        <v>Smart Watch, Projector, Printer</v>
      </c>
      <c r="E323" t="str">
        <v>Home Office</v>
      </c>
      <c r="I323" t="str">
        <v>Nigeria</v>
      </c>
    </row>
    <row r="324" spans="1:9" x14ac:dyDescent="0.35">
      <c r="A324" t="str">
        <v>Desk Chair, Monitor, Speaker, Keyboard</v>
      </c>
      <c r="E324" t="str">
        <v>Consumer</v>
      </c>
      <c r="I324" t="str">
        <v>USA</v>
      </c>
    </row>
    <row r="325" spans="1:9" x14ac:dyDescent="0.35">
      <c r="A325" t="str">
        <v>External Hard Drive, Mouse, Desk Lamp, Headphones</v>
      </c>
      <c r="E325" t="str">
        <v>Corporate</v>
      </c>
      <c r="I325" t="str">
        <v>Canada</v>
      </c>
    </row>
    <row r="326" spans="1:9" x14ac:dyDescent="0.35">
      <c r="A326" t="str">
        <v>Tablet, Mouse, Keyboard, Webcam</v>
      </c>
      <c r="E326" t="str">
        <v>Home Office</v>
      </c>
      <c r="I326" t="str">
        <v>Nigeria</v>
      </c>
    </row>
    <row r="327" spans="1:9" x14ac:dyDescent="0.35">
      <c r="A327" t="str">
        <v>Desk Lamp, Webcam, Mouse, Desk Chair, External Hard Drive</v>
      </c>
      <c r="E327" t="str">
        <v>Home Office</v>
      </c>
      <c r="I327" t="str">
        <v>Nigeria</v>
      </c>
    </row>
    <row r="328" spans="1:9" x14ac:dyDescent="0.35">
      <c r="A328" t="str">
        <v>Laptop, Mouse, Monitor</v>
      </c>
      <c r="E328" t="str">
        <v>Corporate</v>
      </c>
      <c r="I328" t="str">
        <v>USA</v>
      </c>
    </row>
    <row r="329" spans="1:9" x14ac:dyDescent="0.35">
      <c r="A329" t="str">
        <v>Router, Projector, Speaker</v>
      </c>
      <c r="E329" t="str">
        <v>Home Office</v>
      </c>
      <c r="I329" t="str">
        <v>Australia</v>
      </c>
    </row>
    <row r="330" spans="1:9" x14ac:dyDescent="0.35">
      <c r="A330" t="str">
        <v>External Hard Drive, Smart Watch, Tablet, Desk Lamp</v>
      </c>
      <c r="E330" t="str">
        <v>Home Office</v>
      </c>
      <c r="I330" t="str">
        <v>Nigeria</v>
      </c>
    </row>
    <row r="331" spans="1:9" x14ac:dyDescent="0.35">
      <c r="A331" t="str">
        <v>Router, Keyboard, Mouse</v>
      </c>
      <c r="E331" t="str">
        <v>Consumer</v>
      </c>
      <c r="I331" t="str">
        <v>USA</v>
      </c>
    </row>
    <row r="332" spans="1:9" x14ac:dyDescent="0.35">
      <c r="A332" t="str">
        <v>Projector, Monitor, Router</v>
      </c>
      <c r="E332" t="str">
        <v>Corporate</v>
      </c>
      <c r="I332" t="str">
        <v>Germany</v>
      </c>
    </row>
    <row r="333" spans="1:9" x14ac:dyDescent="0.35">
      <c r="A333" t="str">
        <v>Desk Lamp, Printer, Smart Watch, Projector</v>
      </c>
      <c r="E333" t="str">
        <v>Corporate</v>
      </c>
      <c r="I333" t="str">
        <v>India</v>
      </c>
    </row>
    <row r="334" spans="1:9" x14ac:dyDescent="0.35">
      <c r="A334" t="str">
        <v>Smart Watch, Tablet, Laptop</v>
      </c>
      <c r="E334" t="str">
        <v>Home Office</v>
      </c>
      <c r="I334" t="str">
        <v>Japan</v>
      </c>
    </row>
    <row r="335" spans="1:9" x14ac:dyDescent="0.35">
      <c r="A335" t="str">
        <v>Keyboard, Smart Watch, Monitor, Router</v>
      </c>
      <c r="E335" t="str">
        <v>Consumer</v>
      </c>
      <c r="I335" t="str">
        <v>Brazil</v>
      </c>
    </row>
    <row r="336" spans="1:9" x14ac:dyDescent="0.35">
      <c r="A336" t="str">
        <v>Webcam, Smartphone, Mouse, Desk Chair</v>
      </c>
      <c r="E336" t="str">
        <v>Corporate</v>
      </c>
      <c r="I336" t="str">
        <v>France</v>
      </c>
    </row>
    <row r="337" spans="1:9" x14ac:dyDescent="0.35">
      <c r="A337" t="str">
        <v>Router, Monitor, Smart Watch, Mouse</v>
      </c>
      <c r="E337" t="str">
        <v>Consumer</v>
      </c>
      <c r="I337" t="str">
        <v>India</v>
      </c>
    </row>
    <row r="338" spans="1:9" x14ac:dyDescent="0.35">
      <c r="A338" t="str">
        <v>Printer, Projector, Keyboard, Mouse</v>
      </c>
      <c r="E338" t="str">
        <v>Home Office</v>
      </c>
      <c r="I338" t="str">
        <v>India</v>
      </c>
    </row>
    <row r="339" spans="1:9" x14ac:dyDescent="0.35">
      <c r="A339" t="str">
        <v>Laptop, Speaker, Mouse</v>
      </c>
      <c r="E339" t="str">
        <v>Home Office</v>
      </c>
      <c r="I339" t="str">
        <v>Germany</v>
      </c>
    </row>
    <row r="340" spans="1:9" x14ac:dyDescent="0.35">
      <c r="A340" t="str">
        <v>Smart Watch, Headphones, Speaker, Monitor, Desk Lamp</v>
      </c>
      <c r="E340" t="str">
        <v>Consumer</v>
      </c>
      <c r="I340" t="str">
        <v>France</v>
      </c>
    </row>
    <row r="341" spans="1:9" x14ac:dyDescent="0.35">
      <c r="A341" t="str">
        <v>Headphones, Monitor, Smartphone, Webcam, Speaker</v>
      </c>
      <c r="E341" t="str">
        <v>Corporate</v>
      </c>
      <c r="I341" t="str">
        <v>UK</v>
      </c>
    </row>
    <row r="342" spans="1:9" x14ac:dyDescent="0.35">
      <c r="A342" t="str">
        <v>Desk Chair, Projector, Desk Lamp, Smart Watch</v>
      </c>
      <c r="E342" t="str">
        <v>Home Office</v>
      </c>
      <c r="I342" t="str">
        <v>France</v>
      </c>
    </row>
    <row r="343" spans="1:9" x14ac:dyDescent="0.35">
      <c r="A343" t="str">
        <v>External Hard Drive, Desk Lamp, Mouse</v>
      </c>
      <c r="E343" t="str">
        <v>Home Office</v>
      </c>
      <c r="I343" t="str">
        <v>India</v>
      </c>
    </row>
    <row r="344" spans="1:9" x14ac:dyDescent="0.35">
      <c r="A344" t="str">
        <v>Desk Chair, Laptop, Mouse</v>
      </c>
      <c r="E344" t="str">
        <v>Corporate</v>
      </c>
      <c r="I344" t="str">
        <v>France</v>
      </c>
    </row>
    <row r="345" spans="1:9" x14ac:dyDescent="0.35">
      <c r="A345" t="str">
        <v>Desk Chair, Smartphone, Projector</v>
      </c>
      <c r="E345" t="str">
        <v>Corporate</v>
      </c>
      <c r="I345" t="str">
        <v>India</v>
      </c>
    </row>
    <row r="346" spans="1:9" x14ac:dyDescent="0.35">
      <c r="A346" t="str">
        <v>Tablet, Smart Watch, Keyboard, Laptop, Desk Lamp</v>
      </c>
      <c r="E346" t="str">
        <v>Corporate</v>
      </c>
      <c r="I346" t="str">
        <v>India</v>
      </c>
    </row>
    <row r="347" spans="1:9" x14ac:dyDescent="0.35">
      <c r="A347" t="str">
        <v>Laptop, Webcam, Projector</v>
      </c>
      <c r="E347" t="str">
        <v>Home Office</v>
      </c>
      <c r="I347" t="str">
        <v>UK</v>
      </c>
    </row>
    <row r="348" spans="1:9" x14ac:dyDescent="0.35">
      <c r="A348" t="str">
        <v>Desk Lamp, External Hard Drive, Laptop</v>
      </c>
      <c r="E348" t="str">
        <v>Corporate</v>
      </c>
      <c r="I348" t="str">
        <v>USA</v>
      </c>
    </row>
    <row r="349" spans="1:9" x14ac:dyDescent="0.35">
      <c r="A349" t="str">
        <v>Mouse, Router, Smart Watch, Keyboard, Tablet</v>
      </c>
      <c r="E349" t="str">
        <v>Corporate</v>
      </c>
      <c r="I349" t="str">
        <v>Brazil</v>
      </c>
    </row>
    <row r="350" spans="1:9" x14ac:dyDescent="0.35">
      <c r="A350" t="str">
        <v>Desk Lamp, Smart Watch, Mouse, Desk Chair, Speaker</v>
      </c>
      <c r="E350" t="str">
        <v>Home Office</v>
      </c>
      <c r="I350" t="str">
        <v>France</v>
      </c>
    </row>
    <row r="351" spans="1:9" x14ac:dyDescent="0.35">
      <c r="A351" t="str">
        <v>Desk Lamp, Monitor, Smartphone</v>
      </c>
      <c r="E351" t="str">
        <v>Consumer</v>
      </c>
      <c r="I351" t="str">
        <v>USA</v>
      </c>
    </row>
    <row r="352" spans="1:9" x14ac:dyDescent="0.35">
      <c r="A352" t="str">
        <v>Speaker, Desk Chair, Projector, Headphones, External Hard Drive</v>
      </c>
      <c r="E352" t="str">
        <v>Consumer</v>
      </c>
      <c r="I352" t="str">
        <v>Brazil</v>
      </c>
    </row>
    <row r="353" spans="1:9" x14ac:dyDescent="0.35">
      <c r="A353" t="str">
        <v>Desk Lamp, Laptop, Router, Projector, Speaker</v>
      </c>
      <c r="E353" t="str">
        <v>Corporate</v>
      </c>
      <c r="I353" t="str">
        <v>Nigeria</v>
      </c>
    </row>
    <row r="354" spans="1:9" x14ac:dyDescent="0.35">
      <c r="A354" t="str">
        <v>External Hard Drive, Laptop, Router</v>
      </c>
      <c r="E354" t="str">
        <v>Home Office</v>
      </c>
      <c r="I354" t="str">
        <v>Germany</v>
      </c>
    </row>
    <row r="355" spans="1:9" x14ac:dyDescent="0.35">
      <c r="A355" t="str">
        <v>Laptop, Speaker, External Hard Drive, Smartphone</v>
      </c>
      <c r="E355" t="str">
        <v>Home Office</v>
      </c>
      <c r="I355" t="str">
        <v>Australia</v>
      </c>
    </row>
    <row r="356" spans="1:9" x14ac:dyDescent="0.35">
      <c r="A356" t="str">
        <v>Laptop, Desk Lamp, Tablet</v>
      </c>
      <c r="E356" t="str">
        <v>Corporate</v>
      </c>
      <c r="I356" t="str">
        <v>USA</v>
      </c>
    </row>
    <row r="357" spans="1:9" x14ac:dyDescent="0.35">
      <c r="A357" t="str">
        <v>Printer, Speaker, Webcam</v>
      </c>
      <c r="E357" t="str">
        <v>Consumer</v>
      </c>
      <c r="I357" t="str">
        <v>France</v>
      </c>
    </row>
    <row r="358" spans="1:9" x14ac:dyDescent="0.35">
      <c r="A358" t="str">
        <v>Printer, Projector, Webcam, Router</v>
      </c>
      <c r="E358" t="str">
        <v>Consumer</v>
      </c>
      <c r="I358" t="str">
        <v>Brazil</v>
      </c>
    </row>
    <row r="359" spans="1:9" x14ac:dyDescent="0.35">
      <c r="A359" t="str">
        <v>Webcam, Desk Lamp, Mouse, Router</v>
      </c>
      <c r="E359" t="str">
        <v>Corporate</v>
      </c>
      <c r="I359" t="str">
        <v>UK</v>
      </c>
    </row>
    <row r="360" spans="1:9" x14ac:dyDescent="0.35">
      <c r="A360" t="str">
        <v>Smart Watch, Smartphone, Monitor, Keyboard</v>
      </c>
      <c r="E360" t="str">
        <v>Corporate</v>
      </c>
      <c r="I360" t="str">
        <v>France</v>
      </c>
    </row>
    <row r="361" spans="1:9" x14ac:dyDescent="0.35">
      <c r="A361" t="str">
        <v>Projector, Keyboard, Webcam</v>
      </c>
      <c r="E361" t="str">
        <v>Corporate</v>
      </c>
      <c r="I361" t="str">
        <v>France</v>
      </c>
    </row>
    <row r="362" spans="1:9" x14ac:dyDescent="0.35">
      <c r="A362" t="str">
        <v>Speaker, Smart Watch, Desk Chair, Tablet</v>
      </c>
      <c r="E362" t="str">
        <v>Consumer</v>
      </c>
      <c r="I362" t="str">
        <v>Canada</v>
      </c>
    </row>
    <row r="363" spans="1:9" x14ac:dyDescent="0.35">
      <c r="A363" t="str">
        <v>Smartphone, Router, Printer, Laptop, Headphones</v>
      </c>
      <c r="E363" t="str">
        <v>Home Office</v>
      </c>
      <c r="I363" t="str">
        <v>France</v>
      </c>
    </row>
    <row r="364" spans="1:9" x14ac:dyDescent="0.35">
      <c r="A364" t="str">
        <v>Monitor, Tablet, External Hard Drive, Printer, Keyboard</v>
      </c>
      <c r="E364" t="str">
        <v>Corporate</v>
      </c>
      <c r="I364" t="str">
        <v>UK</v>
      </c>
    </row>
    <row r="365" spans="1:9" x14ac:dyDescent="0.35">
      <c r="A365" t="str">
        <v>Projector, Mouse, Tablet</v>
      </c>
      <c r="E365" t="str">
        <v>Corporate</v>
      </c>
      <c r="I365" t="str">
        <v>India</v>
      </c>
    </row>
    <row r="366" spans="1:9" x14ac:dyDescent="0.35">
      <c r="A366" t="str">
        <v>Projector, Tablet, Smartphone, Mouse</v>
      </c>
      <c r="E366" t="str">
        <v>Corporate</v>
      </c>
      <c r="I366" t="str">
        <v>Australia</v>
      </c>
    </row>
    <row r="367" spans="1:9" x14ac:dyDescent="0.35">
      <c r="A367" t="str">
        <v>Printer, External Hard Drive, Speaker, Smart Watch</v>
      </c>
      <c r="E367" t="str">
        <v>Home Office</v>
      </c>
      <c r="I367" t="str">
        <v>UK</v>
      </c>
    </row>
    <row r="368" spans="1:9" x14ac:dyDescent="0.35">
      <c r="A368" t="str">
        <v>Keyboard, Smartphone, Projector, Printer</v>
      </c>
      <c r="E368" t="str">
        <v>Consumer</v>
      </c>
      <c r="I368" t="str">
        <v>UK</v>
      </c>
    </row>
    <row r="369" spans="1:9" x14ac:dyDescent="0.35">
      <c r="A369" t="str">
        <v>Mouse, Monitor, Desk Lamp, Smart Watch</v>
      </c>
      <c r="E369" t="str">
        <v>Home Office</v>
      </c>
      <c r="I369" t="str">
        <v>France</v>
      </c>
    </row>
    <row r="370" spans="1:9" x14ac:dyDescent="0.35">
      <c r="A370" t="str">
        <v>Router, Headphones, Monitor, Laptop</v>
      </c>
      <c r="E370" t="str">
        <v>Consumer</v>
      </c>
      <c r="I370" t="str">
        <v>Australia</v>
      </c>
    </row>
    <row r="371" spans="1:9" x14ac:dyDescent="0.35">
      <c r="A371" t="str">
        <v>External Hard Drive, Speaker, Webcam, Keyboard</v>
      </c>
      <c r="E371" t="str">
        <v>Home Office</v>
      </c>
      <c r="I371" t="str">
        <v>Germany</v>
      </c>
    </row>
    <row r="372" spans="1:9" x14ac:dyDescent="0.35">
      <c r="A372" t="str">
        <v>Monitor, Desk Lamp, Smart Watch, Tablet</v>
      </c>
      <c r="E372" t="str">
        <v>Corporate</v>
      </c>
      <c r="I372" t="str">
        <v>UK</v>
      </c>
    </row>
    <row r="373" spans="1:9" x14ac:dyDescent="0.35">
      <c r="A373" t="str">
        <v>Tablet, Router, Desk Chair, External Hard Drive</v>
      </c>
      <c r="E373" t="str">
        <v>Home Office</v>
      </c>
      <c r="I373" t="str">
        <v>Canada</v>
      </c>
    </row>
    <row r="374" spans="1:9" x14ac:dyDescent="0.35">
      <c r="A374" t="str">
        <v>Laptop, Desk Lamp, External Hard Drive</v>
      </c>
      <c r="E374" t="str">
        <v>Corporate</v>
      </c>
      <c r="I374" t="str">
        <v>UK</v>
      </c>
    </row>
    <row r="375" spans="1:9" x14ac:dyDescent="0.35">
      <c r="A375" t="str">
        <v>Desk Lamp, Router, Keyboard, Laptop, External Hard Drive</v>
      </c>
      <c r="E375" t="str">
        <v>Home Office</v>
      </c>
      <c r="I375" t="str">
        <v>India</v>
      </c>
    </row>
    <row r="376" spans="1:9" x14ac:dyDescent="0.35">
      <c r="A376" t="str">
        <v>Desk Chair, Monitor, External Hard Drive, Speaker, Projector</v>
      </c>
      <c r="E376" t="str">
        <v>Consumer</v>
      </c>
      <c r="I376" t="str">
        <v>Nigeria</v>
      </c>
    </row>
    <row r="377" spans="1:9" x14ac:dyDescent="0.35">
      <c r="A377" t="str">
        <v>Smartphone, Projector, Mouse, Headphones</v>
      </c>
      <c r="E377" t="str">
        <v>Home Office</v>
      </c>
      <c r="I377" t="str">
        <v>USA</v>
      </c>
    </row>
    <row r="378" spans="1:9" x14ac:dyDescent="0.35">
      <c r="A378" t="str">
        <v>Router, Smartphone, Smart Watch, Projector</v>
      </c>
      <c r="E378" t="str">
        <v>Home Office</v>
      </c>
      <c r="I378" t="str">
        <v>UK</v>
      </c>
    </row>
    <row r="379" spans="1:9" x14ac:dyDescent="0.35">
      <c r="A379" t="str">
        <v>Keyboard, Printer, Smart Watch, Speaker, Tablet</v>
      </c>
      <c r="E379" t="str">
        <v>Consumer</v>
      </c>
      <c r="I379" t="str">
        <v>Australia</v>
      </c>
    </row>
    <row r="380" spans="1:9" x14ac:dyDescent="0.35">
      <c r="A380" t="str">
        <v>Speaker, Headphones, Desk Lamp</v>
      </c>
      <c r="E380" t="str">
        <v>Consumer</v>
      </c>
      <c r="I380" t="str">
        <v>Germany</v>
      </c>
    </row>
    <row r="381" spans="1:9" x14ac:dyDescent="0.35">
      <c r="A381" t="str">
        <v>Laptop, Speaker, External Hard Drive</v>
      </c>
      <c r="E381" t="str">
        <v>Corporate</v>
      </c>
      <c r="I381" t="str">
        <v>Australia</v>
      </c>
    </row>
    <row r="382" spans="1:9" x14ac:dyDescent="0.35">
      <c r="A382" t="str">
        <v>Projector, Desk Lamp, Tablet, Smart Watch, Speaker</v>
      </c>
      <c r="E382" t="str">
        <v>Corporate</v>
      </c>
      <c r="I382" t="str">
        <v>Australia</v>
      </c>
    </row>
    <row r="383" spans="1:9" x14ac:dyDescent="0.35">
      <c r="A383" t="str">
        <v>Webcam, Speaker, Router, Projector</v>
      </c>
      <c r="E383" t="str">
        <v>Corporate</v>
      </c>
      <c r="I383" t="str">
        <v>Nigeria</v>
      </c>
    </row>
    <row r="384" spans="1:9" x14ac:dyDescent="0.35">
      <c r="A384" t="str">
        <v>Smartphone, Smart Watch, Headphones, Router, Monitor</v>
      </c>
      <c r="E384" t="str">
        <v>Home Office</v>
      </c>
      <c r="I384" t="str">
        <v>USA</v>
      </c>
    </row>
    <row r="385" spans="1:9" x14ac:dyDescent="0.35">
      <c r="A385" t="str">
        <v>Mouse, Projector, Keyboard, Monitor, Webcam</v>
      </c>
      <c r="E385" t="str">
        <v>Home Office</v>
      </c>
      <c r="I385" t="str">
        <v>Japan</v>
      </c>
    </row>
    <row r="386" spans="1:9" x14ac:dyDescent="0.35">
      <c r="A386" t="str">
        <v>Speaker, Keyboard, Tablet, Router, Monitor</v>
      </c>
      <c r="E386" t="str">
        <v>Consumer</v>
      </c>
      <c r="I386" t="str">
        <v>Australia</v>
      </c>
    </row>
    <row r="387" spans="1:9" x14ac:dyDescent="0.35">
      <c r="A387" t="str">
        <v>Monitor, Mouse, Tablet, Webcam</v>
      </c>
      <c r="E387" t="str">
        <v>Consumer</v>
      </c>
      <c r="I387" t="str">
        <v>USA</v>
      </c>
    </row>
    <row r="388" spans="1:9" x14ac:dyDescent="0.35">
      <c r="A388" t="str">
        <v>Mouse, Tablet, Speaker</v>
      </c>
      <c r="E388" t="str">
        <v>Home Office</v>
      </c>
      <c r="I388" t="str">
        <v>Japan</v>
      </c>
    </row>
    <row r="389" spans="1:9" x14ac:dyDescent="0.35">
      <c r="A389" t="str">
        <v>Desk Lamp, Router, Desk Chair, Laptop, Speaker</v>
      </c>
      <c r="E389" t="str">
        <v>Home Office</v>
      </c>
      <c r="I389" t="str">
        <v>USA</v>
      </c>
    </row>
    <row r="390" spans="1:9" x14ac:dyDescent="0.35">
      <c r="A390" t="str">
        <v>Smart Watch, Desk Lamp, Printer, Mouse</v>
      </c>
      <c r="E390" t="str">
        <v>Home Office</v>
      </c>
      <c r="I390" t="str">
        <v>France</v>
      </c>
    </row>
    <row r="391" spans="1:9" x14ac:dyDescent="0.35">
      <c r="A391" t="str">
        <v>Projector, External Hard Drive, Printer, Monitor, Webcam</v>
      </c>
      <c r="E391" t="str">
        <v>Home Office</v>
      </c>
      <c r="I391" t="str">
        <v>Australia</v>
      </c>
    </row>
    <row r="392" spans="1:9" x14ac:dyDescent="0.35">
      <c r="A392" t="str">
        <v>Printer, External Hard Drive, Tablet, Monitor</v>
      </c>
      <c r="E392" t="str">
        <v>Home Office</v>
      </c>
      <c r="I392" t="str">
        <v>Canada</v>
      </c>
    </row>
    <row r="393" spans="1:9" x14ac:dyDescent="0.35">
      <c r="A393" t="str">
        <v>Mouse, Desk Lamp, Smart Watch, Laptop</v>
      </c>
      <c r="E393" t="str">
        <v>Home Office</v>
      </c>
      <c r="I393" t="str">
        <v>Nigeria</v>
      </c>
    </row>
    <row r="394" spans="1:9" x14ac:dyDescent="0.35">
      <c r="A394" t="str">
        <v>Keyboard, Tablet, Smartphone, Speaker, Projector</v>
      </c>
      <c r="E394" t="str">
        <v>Home Office</v>
      </c>
      <c r="I394" t="str">
        <v>UK</v>
      </c>
    </row>
    <row r="395" spans="1:9" x14ac:dyDescent="0.35">
      <c r="A395" t="str">
        <v>Mouse, Tablet, Desk Lamp, Router, Laptop</v>
      </c>
      <c r="E395" t="str">
        <v>Home Office</v>
      </c>
      <c r="I395" t="str">
        <v>Japan</v>
      </c>
    </row>
    <row r="396" spans="1:9" x14ac:dyDescent="0.35">
      <c r="A396" t="str">
        <v>Printer, Desk Chair, Smartphone</v>
      </c>
      <c r="E396" t="str">
        <v>Home Office</v>
      </c>
      <c r="I396" t="str">
        <v>Japan</v>
      </c>
    </row>
    <row r="397" spans="1:9" x14ac:dyDescent="0.35">
      <c r="A397" t="str">
        <v>Monitor, Keyboard, Tablet</v>
      </c>
      <c r="E397" t="str">
        <v>Consumer</v>
      </c>
      <c r="I397" t="str">
        <v>Canada</v>
      </c>
    </row>
    <row r="398" spans="1:9" x14ac:dyDescent="0.35">
      <c r="A398" t="str">
        <v>Mouse, Monitor, Router</v>
      </c>
      <c r="E398" t="str">
        <v>Corporate</v>
      </c>
      <c r="I398" t="str">
        <v>Canada</v>
      </c>
    </row>
    <row r="399" spans="1:9" x14ac:dyDescent="0.35">
      <c r="A399" t="str">
        <v>Laptop, External Hard Drive, Projector</v>
      </c>
      <c r="E399" t="str">
        <v>Corporate</v>
      </c>
      <c r="I399" t="str">
        <v>Germany</v>
      </c>
    </row>
    <row r="400" spans="1:9" x14ac:dyDescent="0.35">
      <c r="A400" t="str">
        <v>Printer, Laptop, Desk Lamp, Headphones</v>
      </c>
      <c r="E400" t="str">
        <v>Consumer</v>
      </c>
      <c r="I400" t="str">
        <v>India</v>
      </c>
    </row>
    <row r="401" spans="1:9" x14ac:dyDescent="0.35">
      <c r="A401" t="str">
        <v>Headphones, Mouse, Projector, Smartphone, Keyboard</v>
      </c>
      <c r="E401" t="str">
        <v>Home Office</v>
      </c>
      <c r="I401" t="str">
        <v>India</v>
      </c>
    </row>
    <row r="402" spans="1:9" x14ac:dyDescent="0.35">
      <c r="A402" t="str">
        <v>Desk Chair, Keyboard, Smartphone</v>
      </c>
      <c r="E402" t="str">
        <v>Home Office</v>
      </c>
      <c r="I402" t="str">
        <v>Australia</v>
      </c>
    </row>
    <row r="403" spans="1:9" x14ac:dyDescent="0.35">
      <c r="A403" t="str">
        <v>Desk Chair, Printer, Smart Watch, Keyboard, Webcam</v>
      </c>
      <c r="E403" t="str">
        <v>Consumer</v>
      </c>
      <c r="I403" t="str">
        <v>Nigeria</v>
      </c>
    </row>
    <row r="404" spans="1:9" x14ac:dyDescent="0.35">
      <c r="A404" t="str">
        <v>Desk Lamp, Laptop, Desk Chair, Printer</v>
      </c>
      <c r="E404" t="str">
        <v>Consumer</v>
      </c>
      <c r="I404" t="str">
        <v>USA</v>
      </c>
    </row>
    <row r="405" spans="1:9" x14ac:dyDescent="0.35">
      <c r="A405" t="str">
        <v>Mouse, Smartphone, Desk Chair</v>
      </c>
      <c r="E405" t="str">
        <v>Consumer</v>
      </c>
      <c r="I405" t="str">
        <v>Japan</v>
      </c>
    </row>
    <row r="406" spans="1:9" x14ac:dyDescent="0.35">
      <c r="A406" t="str">
        <v>Keyboard, Smartphone, Tablet, Monitor</v>
      </c>
      <c r="E406" t="str">
        <v>Corporate</v>
      </c>
      <c r="I406" t="str">
        <v>France</v>
      </c>
    </row>
    <row r="407" spans="1:9" x14ac:dyDescent="0.35">
      <c r="A407" t="str">
        <v>Keyboard, Smartphone, Desk Lamp</v>
      </c>
      <c r="E407" t="str">
        <v>Corporate</v>
      </c>
      <c r="I407" t="str">
        <v>Japan</v>
      </c>
    </row>
    <row r="408" spans="1:9" x14ac:dyDescent="0.35">
      <c r="A408" t="str">
        <v>Laptop, Router, Smartphone</v>
      </c>
      <c r="E408" t="str">
        <v>Corporate</v>
      </c>
      <c r="I408" t="str">
        <v>UK</v>
      </c>
    </row>
    <row r="409" spans="1:9" x14ac:dyDescent="0.35">
      <c r="A409" t="str">
        <v>Router, Keyboard, Desk Chair</v>
      </c>
      <c r="E409" t="str">
        <v>Home Office</v>
      </c>
      <c r="I409" t="str">
        <v>UK</v>
      </c>
    </row>
    <row r="410" spans="1:9" x14ac:dyDescent="0.35">
      <c r="A410" t="str">
        <v>Desk Lamp, Desk Chair, Smartphone</v>
      </c>
      <c r="E410" t="str">
        <v>Corporate</v>
      </c>
      <c r="I410" t="str">
        <v>France</v>
      </c>
    </row>
    <row r="411" spans="1:9" x14ac:dyDescent="0.35">
      <c r="A411" t="str">
        <v>Router, Keyboard, Desk Chair, Smartphone, Webcam</v>
      </c>
      <c r="E411" t="str">
        <v>Corporate</v>
      </c>
      <c r="I411" t="str">
        <v>Nigeria</v>
      </c>
    </row>
    <row r="412" spans="1:9" x14ac:dyDescent="0.35">
      <c r="A412" t="str">
        <v>External Hard Drive, Speaker, Desk Chair, Printer, Headphones</v>
      </c>
      <c r="E412" t="str">
        <v>Consumer</v>
      </c>
      <c r="I412" t="str">
        <v>Canada</v>
      </c>
    </row>
    <row r="413" spans="1:9" x14ac:dyDescent="0.35">
      <c r="A413" t="str">
        <v>Smartphone, Speaker, Keyboard, Mouse, External Hard Drive</v>
      </c>
      <c r="E413" t="str">
        <v>Home Office</v>
      </c>
      <c r="I413" t="str">
        <v>Australia</v>
      </c>
    </row>
    <row r="414" spans="1:9" x14ac:dyDescent="0.35">
      <c r="A414" t="str">
        <v>Laptop, Printer, Desk Chair, Keyboard</v>
      </c>
      <c r="E414" t="str">
        <v>Home Office</v>
      </c>
      <c r="I414" t="str">
        <v>Australia</v>
      </c>
    </row>
    <row r="415" spans="1:9" x14ac:dyDescent="0.35">
      <c r="A415" t="str">
        <v>Projector, Monitor, Smartphone</v>
      </c>
      <c r="E415" t="str">
        <v>Consumer</v>
      </c>
      <c r="I415" t="str">
        <v>Nigeria</v>
      </c>
    </row>
    <row r="416" spans="1:9" x14ac:dyDescent="0.35">
      <c r="A416" t="str">
        <v>Smartphone, Headphones, Desk Chair, Speaker, Monitor</v>
      </c>
      <c r="E416" t="str">
        <v>Corporate</v>
      </c>
      <c r="I416" t="str">
        <v>India</v>
      </c>
    </row>
    <row r="417" spans="1:9" x14ac:dyDescent="0.35">
      <c r="A417" t="str">
        <v>Speaker, Smartphone, Router, Laptop, Smart Watch</v>
      </c>
      <c r="E417" t="str">
        <v>Consumer</v>
      </c>
      <c r="I417" t="str">
        <v>Germany</v>
      </c>
    </row>
    <row r="418" spans="1:9" x14ac:dyDescent="0.35">
      <c r="A418" t="str">
        <v>Printer, Monitor, Projector, Laptop</v>
      </c>
      <c r="E418" t="str">
        <v>Consumer</v>
      </c>
      <c r="I418" t="str">
        <v>Brazil</v>
      </c>
    </row>
    <row r="419" spans="1:9" x14ac:dyDescent="0.35">
      <c r="A419" t="str">
        <v>Keyboard, Monitor, Headphones, External Hard Drive</v>
      </c>
      <c r="E419" t="str">
        <v>Consumer</v>
      </c>
      <c r="I419" t="str">
        <v>France</v>
      </c>
    </row>
    <row r="420" spans="1:9" x14ac:dyDescent="0.35">
      <c r="A420" t="str">
        <v>Desk Chair, External Hard Drive, Webcam, Desk Lamp</v>
      </c>
      <c r="E420" t="str">
        <v>Home Office</v>
      </c>
      <c r="I420" t="str">
        <v>India</v>
      </c>
    </row>
    <row r="421" spans="1:9" x14ac:dyDescent="0.35">
      <c r="A421" t="str">
        <v>External Hard Drive, Projector, Mouse, Router, Monitor</v>
      </c>
      <c r="E421" t="str">
        <v>Home Office</v>
      </c>
      <c r="I421" t="str">
        <v>USA</v>
      </c>
    </row>
    <row r="422" spans="1:9" x14ac:dyDescent="0.35">
      <c r="A422" t="str">
        <v>Headphones, Desk Lamp, Projector</v>
      </c>
      <c r="E422" t="str">
        <v>Consumer</v>
      </c>
      <c r="I422" t="str">
        <v>India</v>
      </c>
    </row>
    <row r="423" spans="1:9" x14ac:dyDescent="0.35">
      <c r="A423" t="str">
        <v>Printer, External Hard Drive, Monitor</v>
      </c>
      <c r="E423" t="str">
        <v>Corporate</v>
      </c>
      <c r="I423" t="str">
        <v>Brazil</v>
      </c>
    </row>
    <row r="424" spans="1:9" x14ac:dyDescent="0.35">
      <c r="A424" t="str">
        <v>Desk Chair, Smart Watch, Mouse, Speaker, Laptop</v>
      </c>
      <c r="E424" t="str">
        <v>Consumer</v>
      </c>
      <c r="I424" t="str">
        <v>France</v>
      </c>
    </row>
    <row r="425" spans="1:9" x14ac:dyDescent="0.35">
      <c r="A425" t="str">
        <v>Speaker, Laptop, Desk Chair, Webcam, Headphones</v>
      </c>
      <c r="E425" t="str">
        <v>Home Office</v>
      </c>
      <c r="I425" t="str">
        <v>Germany</v>
      </c>
    </row>
    <row r="426" spans="1:9" x14ac:dyDescent="0.35">
      <c r="A426" t="str">
        <v>Projector, Router, Keyboard, Desk Chair</v>
      </c>
      <c r="E426" t="str">
        <v>Corporate</v>
      </c>
      <c r="I426" t="str">
        <v>France</v>
      </c>
    </row>
    <row r="427" spans="1:9" x14ac:dyDescent="0.35">
      <c r="A427" t="str">
        <v>Headphones, Printer, Keyboard</v>
      </c>
      <c r="E427" t="str">
        <v>Consumer</v>
      </c>
      <c r="I427" t="str">
        <v>Nigeria</v>
      </c>
    </row>
    <row r="428" spans="1:9" x14ac:dyDescent="0.35">
      <c r="A428" t="str">
        <v>Mouse, Tablet, Webcam, Laptop, Smartphone</v>
      </c>
      <c r="E428" t="str">
        <v>Corporate</v>
      </c>
      <c r="I428" t="str">
        <v>Brazil</v>
      </c>
    </row>
    <row r="429" spans="1:9" x14ac:dyDescent="0.35">
      <c r="A429" t="str">
        <v>Monitor, Smartphone, Speaker, Projector</v>
      </c>
      <c r="E429" t="str">
        <v>Home Office</v>
      </c>
      <c r="I429" t="str">
        <v>India</v>
      </c>
    </row>
    <row r="430" spans="1:9" x14ac:dyDescent="0.35">
      <c r="A430" t="str">
        <v>Smart Watch, Monitor, Projector, Smartphone</v>
      </c>
      <c r="E430" t="str">
        <v>Consumer</v>
      </c>
      <c r="I430" t="str">
        <v>USA</v>
      </c>
    </row>
    <row r="431" spans="1:9" x14ac:dyDescent="0.35">
      <c r="A431" t="str">
        <v>Monitor, Mouse, Desk Chair</v>
      </c>
      <c r="E431" t="str">
        <v>Corporate</v>
      </c>
      <c r="I431" t="str">
        <v>UK</v>
      </c>
    </row>
    <row r="432" spans="1:9" x14ac:dyDescent="0.35">
      <c r="A432" t="str">
        <v>Mouse, Webcam, Keyboard, Smartphone</v>
      </c>
      <c r="E432" t="str">
        <v>Consumer</v>
      </c>
      <c r="I432" t="str">
        <v>USA</v>
      </c>
    </row>
    <row r="433" spans="1:9" x14ac:dyDescent="0.35">
      <c r="A433" t="str">
        <v>Desk Lamp, Smart Watch, Mouse, Desk Chair, Projector</v>
      </c>
      <c r="E433" t="str">
        <v>Corporate</v>
      </c>
      <c r="I433" t="str">
        <v>Brazil</v>
      </c>
    </row>
    <row r="434" spans="1:9" x14ac:dyDescent="0.35">
      <c r="A434" t="str">
        <v>Monitor, Laptop, Desk Lamp</v>
      </c>
      <c r="E434" t="str">
        <v>Home Office</v>
      </c>
      <c r="I434" t="str">
        <v>Japan</v>
      </c>
    </row>
    <row r="435" spans="1:9" x14ac:dyDescent="0.35">
      <c r="A435" t="str">
        <v>Keyboard, Desk Chair, Printer, Mouse, Speaker</v>
      </c>
      <c r="E435" t="str">
        <v>Corporate</v>
      </c>
      <c r="I435" t="str">
        <v>India</v>
      </c>
    </row>
    <row r="436" spans="1:9" x14ac:dyDescent="0.35">
      <c r="A436" t="str">
        <v>Webcam, Headphones, Keyboard</v>
      </c>
      <c r="E436" t="str">
        <v>Corporate</v>
      </c>
      <c r="I436" t="str">
        <v>Brazil</v>
      </c>
    </row>
    <row r="437" spans="1:9" x14ac:dyDescent="0.35">
      <c r="A437" t="str">
        <v>Speaker, Printer, Tablet, Projector, External Hard Drive</v>
      </c>
      <c r="E437" t="str">
        <v>Home Office</v>
      </c>
      <c r="I437" t="str">
        <v>Australia</v>
      </c>
    </row>
    <row r="438" spans="1:9" x14ac:dyDescent="0.35">
      <c r="A438" t="str">
        <v>Smart Watch, Keyboard, Tablet, Printer</v>
      </c>
      <c r="E438" t="str">
        <v>Consumer</v>
      </c>
      <c r="I438" t="str">
        <v>Canada</v>
      </c>
    </row>
    <row r="439" spans="1:9" x14ac:dyDescent="0.35">
      <c r="A439" t="str">
        <v>Smart Watch, Monitor, Speaker, Smartphone, Router</v>
      </c>
      <c r="E439" t="str">
        <v>Consumer</v>
      </c>
      <c r="I439" t="str">
        <v>UK</v>
      </c>
    </row>
    <row r="440" spans="1:9" x14ac:dyDescent="0.35">
      <c r="A440" t="str">
        <v>Router, Desk Lamp, Monitor, Speaker, Laptop</v>
      </c>
      <c r="E440" t="str">
        <v>Consumer</v>
      </c>
      <c r="I440" t="str">
        <v>Australia</v>
      </c>
    </row>
    <row r="441" spans="1:9" x14ac:dyDescent="0.35">
      <c r="A441" t="str">
        <v>Smart Watch, Mouse, Desk Lamp, Headphones</v>
      </c>
      <c r="E441" t="str">
        <v>Corporate</v>
      </c>
      <c r="I441" t="str">
        <v>Japan</v>
      </c>
    </row>
    <row r="442" spans="1:9" x14ac:dyDescent="0.35">
      <c r="A442" t="str">
        <v>Smartphone, Desk Chair, Tablet, Router, Smart Watch</v>
      </c>
      <c r="E442" t="str">
        <v>Corporate</v>
      </c>
      <c r="I442" t="str">
        <v>Germany</v>
      </c>
    </row>
    <row r="443" spans="1:9" x14ac:dyDescent="0.35">
      <c r="A443" t="str">
        <v>Router, Smart Watch, Laptop, External Hard Drive, Desk Lamp</v>
      </c>
      <c r="E443" t="str">
        <v>Home Office</v>
      </c>
      <c r="I443" t="str">
        <v>Nigeria</v>
      </c>
    </row>
    <row r="444" spans="1:9" x14ac:dyDescent="0.35">
      <c r="A444" t="str">
        <v>Keyboard, Smartphone, Desk Chair</v>
      </c>
      <c r="E444" t="str">
        <v>Corporate</v>
      </c>
      <c r="I444" t="str">
        <v>Brazil</v>
      </c>
    </row>
    <row r="445" spans="1:9" x14ac:dyDescent="0.35">
      <c r="A445" t="str">
        <v>Router, Printer, Tablet</v>
      </c>
      <c r="E445" t="str">
        <v>Home Office</v>
      </c>
      <c r="I445" t="str">
        <v>France</v>
      </c>
    </row>
    <row r="446" spans="1:9" x14ac:dyDescent="0.35">
      <c r="A446" t="str">
        <v>Laptop, Webcam, Speaker, Printer, Router</v>
      </c>
      <c r="E446" t="str">
        <v>Consumer</v>
      </c>
      <c r="I446" t="str">
        <v>USA</v>
      </c>
    </row>
    <row r="447" spans="1:9" x14ac:dyDescent="0.35">
      <c r="A447" t="str">
        <v>Webcam, Speaker, Desk Lamp</v>
      </c>
      <c r="E447" t="str">
        <v>Consumer</v>
      </c>
      <c r="I447" t="str">
        <v>Japan</v>
      </c>
    </row>
    <row r="448" spans="1:9" x14ac:dyDescent="0.35">
      <c r="A448" t="str">
        <v>External Hard Drive, Keyboard, Router, Smart Watch, Smartphone</v>
      </c>
      <c r="E448" t="str">
        <v>Corporate</v>
      </c>
      <c r="I448" t="str">
        <v>Germany</v>
      </c>
    </row>
    <row r="449" spans="1:9" x14ac:dyDescent="0.35">
      <c r="A449" t="str">
        <v>Webcam, Headphones, External Hard Drive</v>
      </c>
      <c r="E449" t="str">
        <v>Home Office</v>
      </c>
      <c r="I449" t="str">
        <v>Brazil</v>
      </c>
    </row>
    <row r="450" spans="1:9" x14ac:dyDescent="0.35">
      <c r="A450" t="str">
        <v>Smartphone, Speaker, Desk Lamp, Tablet, Desk Chair</v>
      </c>
      <c r="E450" t="str">
        <v>Home Office</v>
      </c>
      <c r="I450" t="str">
        <v>Brazil</v>
      </c>
    </row>
    <row r="451" spans="1:9" x14ac:dyDescent="0.35">
      <c r="A451" t="str">
        <v>External Hard Drive, Mouse, Projector, Laptop, Desk Chair</v>
      </c>
      <c r="E451" t="str">
        <v>Home Office</v>
      </c>
      <c r="I451" t="str">
        <v>India</v>
      </c>
    </row>
    <row r="452" spans="1:9" x14ac:dyDescent="0.35">
      <c r="A452" t="str">
        <v>Keyboard, Projector, Headphones, Tablet</v>
      </c>
      <c r="E452" t="str">
        <v>Consumer</v>
      </c>
      <c r="I452" t="str">
        <v>France</v>
      </c>
    </row>
    <row r="453" spans="1:9" x14ac:dyDescent="0.35">
      <c r="A453" t="str">
        <v>Desk Chair, Smartphone, Webcam, Router</v>
      </c>
      <c r="E453" t="str">
        <v>Consumer</v>
      </c>
      <c r="I453" t="str">
        <v>Brazil</v>
      </c>
    </row>
    <row r="454" spans="1:9" x14ac:dyDescent="0.35">
      <c r="A454" t="str">
        <v>Monitor, External Hard Drive, Printer, Projector, Router</v>
      </c>
      <c r="E454" t="str">
        <v>Corporate</v>
      </c>
      <c r="I454" t="str">
        <v>Brazil</v>
      </c>
    </row>
    <row r="455" spans="1:9" x14ac:dyDescent="0.35">
      <c r="A455" t="str">
        <v>Smart Watch, Headphones, Printer, Laptop</v>
      </c>
      <c r="E455" t="str">
        <v>Corporate</v>
      </c>
      <c r="I455" t="str">
        <v>USA</v>
      </c>
    </row>
    <row r="456" spans="1:9" x14ac:dyDescent="0.35">
      <c r="A456" t="str">
        <v>Desk Lamp, Mouse, External Hard Drive</v>
      </c>
      <c r="E456" t="str">
        <v>Corporate</v>
      </c>
      <c r="I456" t="str">
        <v>Canada</v>
      </c>
    </row>
    <row r="457" spans="1:9" x14ac:dyDescent="0.35">
      <c r="A457" t="str">
        <v>Webcam, Headphones, Mouse</v>
      </c>
      <c r="E457" t="str">
        <v>Consumer</v>
      </c>
      <c r="I457" t="str">
        <v>Japan</v>
      </c>
    </row>
    <row r="458" spans="1:9" x14ac:dyDescent="0.35">
      <c r="A458" t="str">
        <v>Webcam, Projector, Printer, Keyboard, Headphones</v>
      </c>
      <c r="E458" t="str">
        <v>Consumer</v>
      </c>
      <c r="I458" t="str">
        <v>India</v>
      </c>
    </row>
    <row r="459" spans="1:9" x14ac:dyDescent="0.35">
      <c r="A459" t="str">
        <v>Printer, Projector, Speaker</v>
      </c>
      <c r="E459" t="str">
        <v>Corporate</v>
      </c>
      <c r="I459" t="str">
        <v>Brazil</v>
      </c>
    </row>
    <row r="460" spans="1:9" x14ac:dyDescent="0.35">
      <c r="A460" t="str">
        <v>Projector, Webcam, Printer</v>
      </c>
      <c r="E460" t="str">
        <v>Consumer</v>
      </c>
      <c r="I460" t="str">
        <v>France</v>
      </c>
    </row>
    <row r="461" spans="1:9" x14ac:dyDescent="0.35">
      <c r="A461" t="str">
        <v>Projector, Smart Watch, Desk Lamp, Headphones</v>
      </c>
      <c r="E461" t="str">
        <v>Consumer</v>
      </c>
      <c r="I461" t="str">
        <v>Nigeria</v>
      </c>
    </row>
    <row r="462" spans="1:9" x14ac:dyDescent="0.35">
      <c r="A462" t="str">
        <v>Smartphone, External Hard Drive, Smart Watch</v>
      </c>
      <c r="E462" t="str">
        <v>Consumer</v>
      </c>
      <c r="I462" t="str">
        <v>Canada</v>
      </c>
    </row>
    <row r="463" spans="1:9" x14ac:dyDescent="0.35">
      <c r="A463" t="str">
        <v>Smart Watch, Printer, Headphones</v>
      </c>
      <c r="E463" t="str">
        <v>Home Office</v>
      </c>
      <c r="I463" t="str">
        <v>Japan</v>
      </c>
    </row>
    <row r="464" spans="1:9" x14ac:dyDescent="0.35">
      <c r="A464" t="str">
        <v>Laptop, External Hard Drive, Desk Lamp, Printer, Smartphone</v>
      </c>
      <c r="E464" t="str">
        <v>Consumer</v>
      </c>
      <c r="I464" t="str">
        <v>Brazil</v>
      </c>
    </row>
    <row r="465" spans="1:9" x14ac:dyDescent="0.35">
      <c r="A465" t="str">
        <v>External Hard Drive, Speaker, Headphones, Laptop, Tablet</v>
      </c>
      <c r="E465" t="str">
        <v>Consumer</v>
      </c>
      <c r="I465" t="str">
        <v>Nigeria</v>
      </c>
    </row>
    <row r="466" spans="1:9" x14ac:dyDescent="0.35">
      <c r="A466" t="str">
        <v>Printer, Router, Keyboard, External Hard Drive, Webcam</v>
      </c>
      <c r="E466" t="str">
        <v>Corporate</v>
      </c>
      <c r="I466" t="str">
        <v>USA</v>
      </c>
    </row>
    <row r="467" spans="1:9" x14ac:dyDescent="0.35">
      <c r="A467" t="str">
        <v>Router, Desk Lamp, Mouse, Smartphone</v>
      </c>
      <c r="E467" t="str">
        <v>Home Office</v>
      </c>
      <c r="I467" t="str">
        <v>Japan</v>
      </c>
    </row>
    <row r="468" spans="1:9" x14ac:dyDescent="0.35">
      <c r="A468" t="str">
        <v>Tablet, Keyboard, Webcam</v>
      </c>
      <c r="E468" t="str">
        <v>Corporate</v>
      </c>
      <c r="I468" t="str">
        <v>India</v>
      </c>
    </row>
    <row r="469" spans="1:9" x14ac:dyDescent="0.35">
      <c r="A469" t="str">
        <v>Projector, Laptop, Desk Chair, Headphones</v>
      </c>
      <c r="E469" t="str">
        <v>Consumer</v>
      </c>
      <c r="I469" t="str">
        <v>France</v>
      </c>
    </row>
    <row r="470" spans="1:9" x14ac:dyDescent="0.35">
      <c r="A470" t="str">
        <v>Printer, Smartphone, Headphones</v>
      </c>
      <c r="E470" t="str">
        <v>Home Office</v>
      </c>
      <c r="I470" t="str">
        <v>Brazil</v>
      </c>
    </row>
    <row r="471" spans="1:9" x14ac:dyDescent="0.35">
      <c r="A471" t="str">
        <v>Keyboard, Projector, Desk Lamp, Tablet, Desk Chair</v>
      </c>
      <c r="E471" t="str">
        <v>Home Office</v>
      </c>
      <c r="I471" t="str">
        <v>India</v>
      </c>
    </row>
    <row r="472" spans="1:9" x14ac:dyDescent="0.35">
      <c r="A472" t="str">
        <v>Desk Lamp, Laptop, Keyboard, External Hard Drive, Desk Chair</v>
      </c>
      <c r="E472" t="str">
        <v>Consumer</v>
      </c>
      <c r="I472" t="str">
        <v>India</v>
      </c>
    </row>
    <row r="473" spans="1:9" x14ac:dyDescent="0.35">
      <c r="A473" t="str">
        <v>Mouse, Monitor, Laptop, Projector</v>
      </c>
      <c r="E473" t="str">
        <v>Consumer</v>
      </c>
      <c r="I473" t="str">
        <v>Brazil</v>
      </c>
    </row>
    <row r="474" spans="1:9" x14ac:dyDescent="0.35">
      <c r="A474" t="str">
        <v>Desk Lamp, Smart Watch, Webcam, Monitor</v>
      </c>
      <c r="E474" t="str">
        <v>Home Office</v>
      </c>
      <c r="I474" t="str">
        <v>India</v>
      </c>
    </row>
    <row r="475" spans="1:9" x14ac:dyDescent="0.35">
      <c r="A475" t="str">
        <v>Speaker, Tablet, Printer, Headphones, Desk Chair</v>
      </c>
      <c r="E475" t="str">
        <v>Corporate</v>
      </c>
      <c r="I475" t="str">
        <v>Brazil</v>
      </c>
    </row>
    <row r="476" spans="1:9" x14ac:dyDescent="0.35">
      <c r="A476" t="str">
        <v>Router, Printer, Headphones, Smart Watch, Speaker</v>
      </c>
      <c r="E476" t="str">
        <v>Corporate</v>
      </c>
      <c r="I476" t="str">
        <v>Canada</v>
      </c>
    </row>
    <row r="477" spans="1:9" x14ac:dyDescent="0.35">
      <c r="A477" t="str">
        <v>Mouse, Webcam, Smartphone, Headphones</v>
      </c>
      <c r="E477" t="str">
        <v>Corporate</v>
      </c>
      <c r="I477" t="str">
        <v>Brazil</v>
      </c>
    </row>
    <row r="478" spans="1:9" x14ac:dyDescent="0.35">
      <c r="A478" t="str">
        <v>Smartphone, External Hard Drive, Keyboard, Desk Chair</v>
      </c>
      <c r="E478" t="str">
        <v>Corporate</v>
      </c>
      <c r="I478" t="str">
        <v>Germany</v>
      </c>
    </row>
    <row r="479" spans="1:9" x14ac:dyDescent="0.35">
      <c r="A479" t="str">
        <v>Speaker, Monitor, Router, Headphones</v>
      </c>
      <c r="E479" t="str">
        <v>Consumer</v>
      </c>
      <c r="I479" t="str">
        <v>France</v>
      </c>
    </row>
    <row r="480" spans="1:9" x14ac:dyDescent="0.35">
      <c r="A480" t="str">
        <v>Desk Chair, Speaker, Mouse, Laptop</v>
      </c>
      <c r="E480" t="str">
        <v>Home Office</v>
      </c>
      <c r="I480" t="str">
        <v>Japan</v>
      </c>
    </row>
    <row r="481" spans="1:9" x14ac:dyDescent="0.35">
      <c r="A481" t="str">
        <v>Desk Chair, Keyboard, Speaker</v>
      </c>
      <c r="E481" t="str">
        <v>Consumer</v>
      </c>
      <c r="I481" t="str">
        <v>Canada</v>
      </c>
    </row>
    <row r="482" spans="1:9" x14ac:dyDescent="0.35">
      <c r="A482" t="str">
        <v>Keyboard, Mouse, Tablet, External Hard Drive, Desk Lamp</v>
      </c>
      <c r="E482" t="str">
        <v>Corporate</v>
      </c>
      <c r="I482" t="str">
        <v>Germany</v>
      </c>
    </row>
    <row r="483" spans="1:9" x14ac:dyDescent="0.35">
      <c r="A483" t="str">
        <v>Desk Lamp, Speaker, Headphones</v>
      </c>
      <c r="E483" t="str">
        <v>Home Office</v>
      </c>
      <c r="I483" t="str">
        <v>USA</v>
      </c>
    </row>
    <row r="484" spans="1:9" x14ac:dyDescent="0.35">
      <c r="A484" t="str">
        <v>Tablet, Desk Lamp, Printer, External Hard Drive, Smart Watch</v>
      </c>
      <c r="E484" t="str">
        <v>Consumer</v>
      </c>
      <c r="I484" t="str">
        <v>France</v>
      </c>
    </row>
    <row r="485" spans="1:9" x14ac:dyDescent="0.35">
      <c r="A485" t="str">
        <v>Keyboard, External Hard Drive, Projector</v>
      </c>
      <c r="E485" t="str">
        <v>Consumer</v>
      </c>
      <c r="I485" t="str">
        <v>Australia</v>
      </c>
    </row>
    <row r="486" spans="1:9" x14ac:dyDescent="0.35">
      <c r="A486" t="str">
        <v>Desk Lamp, Desk Chair, Speaker, External Hard Drive, Webcam</v>
      </c>
      <c r="E486" t="str">
        <v>Home Office</v>
      </c>
      <c r="I486" t="str">
        <v>Brazil</v>
      </c>
    </row>
    <row r="487" spans="1:9" x14ac:dyDescent="0.35">
      <c r="A487" t="str">
        <v>Monitor, Desk Lamp, Mouse, Projector, Router</v>
      </c>
      <c r="E487" t="str">
        <v>Corporate</v>
      </c>
      <c r="I487" t="str">
        <v>UK</v>
      </c>
    </row>
    <row r="488" spans="1:9" x14ac:dyDescent="0.35">
      <c r="A488" t="str">
        <v>Headphones, Speaker, External Hard Drive, Printer, Smart Watch</v>
      </c>
      <c r="E488" t="str">
        <v>Home Office</v>
      </c>
      <c r="I488" t="str">
        <v>Nigeria</v>
      </c>
    </row>
    <row r="489" spans="1:9" x14ac:dyDescent="0.35">
      <c r="A489" t="str">
        <v>Smartphone, Laptop, Monitor, Smart Watch, Desk Lamp</v>
      </c>
      <c r="E489" t="str">
        <v>Corporate</v>
      </c>
      <c r="I489" t="str">
        <v>Brazil</v>
      </c>
    </row>
    <row r="490" spans="1:9" x14ac:dyDescent="0.35">
      <c r="A490" t="str">
        <v>Router, Webcam, Printer</v>
      </c>
      <c r="E490" t="str">
        <v>Consumer</v>
      </c>
      <c r="I490" t="str">
        <v>UK</v>
      </c>
    </row>
    <row r="491" spans="1:9" x14ac:dyDescent="0.35">
      <c r="A491" t="str">
        <v>Desk Chair, External Hard Drive, Printer, Laptop</v>
      </c>
      <c r="E491" t="str">
        <v>Corporate</v>
      </c>
      <c r="I491" t="str">
        <v>Australia</v>
      </c>
    </row>
    <row r="492" spans="1:9" x14ac:dyDescent="0.35">
      <c r="A492" t="str">
        <v>Router, Smartphone, Webcam</v>
      </c>
      <c r="E492" t="str">
        <v>Home Office</v>
      </c>
      <c r="I492" t="str">
        <v>UK</v>
      </c>
    </row>
    <row r="493" spans="1:9" x14ac:dyDescent="0.35">
      <c r="A493" t="str">
        <v>External Hard Drive, Headphones, Printer</v>
      </c>
      <c r="E493" t="str">
        <v>Home Office</v>
      </c>
      <c r="I493" t="str">
        <v>Australia</v>
      </c>
    </row>
    <row r="494" spans="1:9" x14ac:dyDescent="0.35">
      <c r="A494" t="str">
        <v>Smart Watch, External Hard Drive, Speaker, Headphones, Desk Chair</v>
      </c>
      <c r="E494" t="str">
        <v>Corporate</v>
      </c>
      <c r="I494" t="str">
        <v>Brazil</v>
      </c>
    </row>
    <row r="495" spans="1:9" x14ac:dyDescent="0.35">
      <c r="A495" t="str">
        <v>Headphones, Speaker, Desk Lamp, Printer, Laptop</v>
      </c>
      <c r="E495" t="str">
        <v>Consumer</v>
      </c>
      <c r="I495" t="str">
        <v>India</v>
      </c>
    </row>
    <row r="496" spans="1:9" x14ac:dyDescent="0.35">
      <c r="A496" t="str">
        <v>Router, Headphones, Smartphone, Monitor</v>
      </c>
      <c r="E496" t="str">
        <v>Corporate</v>
      </c>
      <c r="I496" t="str">
        <v>Germany</v>
      </c>
    </row>
    <row r="497" spans="1:9" x14ac:dyDescent="0.35">
      <c r="A497" t="str">
        <v>Keyboard, Laptop, Smart Watch</v>
      </c>
      <c r="E497" t="str">
        <v>Corporate</v>
      </c>
      <c r="I497" t="str">
        <v>Germany</v>
      </c>
    </row>
    <row r="498" spans="1:9" x14ac:dyDescent="0.35">
      <c r="A498" t="str">
        <v>Tablet, Desk Lamp, Smartphone, Webcam, Router</v>
      </c>
      <c r="E498" t="str">
        <v>Corporate</v>
      </c>
      <c r="I498" t="str">
        <v>Nigeria</v>
      </c>
    </row>
    <row r="499" spans="1:9" x14ac:dyDescent="0.35">
      <c r="A499" t="str">
        <v>External Hard Drive, Smart Watch, Keyboard</v>
      </c>
      <c r="E499" t="str">
        <v>Home Office</v>
      </c>
      <c r="I499" t="str">
        <v>Brazil</v>
      </c>
    </row>
    <row r="500" spans="1:9" x14ac:dyDescent="0.35">
      <c r="A500" t="str">
        <v>Router, External Hard Drive, Tablet, Projector, Printer</v>
      </c>
      <c r="E500" t="str">
        <v>Home Office</v>
      </c>
      <c r="I500" t="str">
        <v>Brazil</v>
      </c>
    </row>
    <row r="501" spans="1:9" x14ac:dyDescent="0.35">
      <c r="A501" t="str">
        <v>Router, Speaker, Webcam, Desk Chair</v>
      </c>
      <c r="E501" t="str">
        <v>Consumer</v>
      </c>
      <c r="I501" t="str">
        <v>Japan</v>
      </c>
    </row>
    <row r="502" spans="1:9" x14ac:dyDescent="0.35">
      <c r="A502" t="str">
        <v>Headphones, Keyboard, Tablet</v>
      </c>
      <c r="E502" t="str">
        <v>Consumer</v>
      </c>
      <c r="I502" t="str">
        <v>France</v>
      </c>
    </row>
    <row r="503" spans="1:9" x14ac:dyDescent="0.35">
      <c r="A503" t="str">
        <v>Speaker, Smartphone, Smart Watch, External Hard Drive, Tablet</v>
      </c>
      <c r="E503" t="str">
        <v>Home Office</v>
      </c>
      <c r="I503" t="str">
        <v>Nigeria</v>
      </c>
    </row>
    <row r="504" spans="1:9" x14ac:dyDescent="0.35">
      <c r="A504" t="str">
        <v>Webcam, Laptop, Speaker, Projector, Desk Lamp</v>
      </c>
      <c r="E504" t="str">
        <v>Corporate</v>
      </c>
      <c r="I504" t="str">
        <v>UK</v>
      </c>
    </row>
    <row r="505" spans="1:9" x14ac:dyDescent="0.35">
      <c r="A505" t="str">
        <v>Tablet, Printer, Webcam, Keyboard, Smartphone</v>
      </c>
      <c r="E505" t="str">
        <v>Consumer</v>
      </c>
      <c r="I505" t="str">
        <v>India</v>
      </c>
    </row>
    <row r="506" spans="1:9" x14ac:dyDescent="0.35">
      <c r="A506" t="str">
        <v>Keyboard, Desk Lamp, Tablet, Webcam, Router</v>
      </c>
      <c r="E506" t="str">
        <v>Consumer</v>
      </c>
      <c r="I506" t="str">
        <v>Australia</v>
      </c>
    </row>
    <row r="507" spans="1:9" x14ac:dyDescent="0.35">
      <c r="A507" t="str">
        <v>Printer, Monitor, Mouse, Speaker</v>
      </c>
      <c r="E507" t="str">
        <v>Home Office</v>
      </c>
      <c r="I507" t="str">
        <v>USA</v>
      </c>
    </row>
    <row r="508" spans="1:9" x14ac:dyDescent="0.35">
      <c r="A508" t="str">
        <v>Monitor, Printer, Smart Watch, Mouse</v>
      </c>
      <c r="E508" t="str">
        <v>Corporate</v>
      </c>
      <c r="I508" t="str">
        <v>Canada</v>
      </c>
    </row>
    <row r="509" spans="1:9" x14ac:dyDescent="0.35">
      <c r="A509" t="str">
        <v>Webcam, Projector, Keyboard, Mouse, Desk Chair</v>
      </c>
      <c r="E509" t="str">
        <v>Home Office</v>
      </c>
      <c r="I509" t="str">
        <v>Germany</v>
      </c>
    </row>
    <row r="510" spans="1:9" x14ac:dyDescent="0.35">
      <c r="A510" t="str">
        <v>Smart Watch, Monitor, Desk Lamp, Projector</v>
      </c>
      <c r="E510" t="str">
        <v>Home Office</v>
      </c>
      <c r="I510" t="str">
        <v>USA</v>
      </c>
    </row>
    <row r="511" spans="1:9" x14ac:dyDescent="0.35">
      <c r="A511" t="str">
        <v>Desk Chair, Smartphone, Webcam</v>
      </c>
      <c r="E511" t="str">
        <v>Consumer</v>
      </c>
      <c r="I511" t="str">
        <v>UK</v>
      </c>
    </row>
    <row r="512" spans="1:9" x14ac:dyDescent="0.35">
      <c r="A512" t="str">
        <v>External Hard Drive, Desk Chair, Laptop</v>
      </c>
      <c r="E512" t="str">
        <v>Corporate</v>
      </c>
      <c r="I512" t="str">
        <v>USA</v>
      </c>
    </row>
    <row r="513" spans="1:9" x14ac:dyDescent="0.35">
      <c r="A513" t="str">
        <v>Desk Lamp, Laptop, External Hard Drive</v>
      </c>
      <c r="E513" t="str">
        <v>Consumer</v>
      </c>
      <c r="I513" t="str">
        <v>India</v>
      </c>
    </row>
    <row r="514" spans="1:9" x14ac:dyDescent="0.35">
      <c r="A514" t="str">
        <v>Laptop, Projector, Smartphone, Smart Watch</v>
      </c>
      <c r="E514" t="str">
        <v>Home Office</v>
      </c>
      <c r="I514" t="str">
        <v>USA</v>
      </c>
    </row>
    <row r="515" spans="1:9" x14ac:dyDescent="0.35">
      <c r="A515" t="str">
        <v>Printer, Laptop, Monitor, Router</v>
      </c>
      <c r="E515" t="str">
        <v>Consumer</v>
      </c>
      <c r="I515" t="str">
        <v>Canada</v>
      </c>
    </row>
    <row r="516" spans="1:9" x14ac:dyDescent="0.35">
      <c r="A516" t="str">
        <v>Headphones, Projector, Laptop, Speaker</v>
      </c>
      <c r="E516" t="str">
        <v>Corporate</v>
      </c>
      <c r="I516" t="str">
        <v>India</v>
      </c>
    </row>
    <row r="517" spans="1:9" x14ac:dyDescent="0.35">
      <c r="A517" t="str">
        <v>Webcam, External Hard Drive, Desk Lamp, Headphones</v>
      </c>
      <c r="E517" t="str">
        <v>Home Office</v>
      </c>
      <c r="I517" t="str">
        <v>Brazil</v>
      </c>
    </row>
    <row r="518" spans="1:9" x14ac:dyDescent="0.35">
      <c r="A518" t="str">
        <v>Laptop, External Hard Drive, Printer, Mouse</v>
      </c>
      <c r="E518" t="str">
        <v>Corporate</v>
      </c>
      <c r="I518" t="str">
        <v>Germany</v>
      </c>
    </row>
    <row r="519" spans="1:9" x14ac:dyDescent="0.35">
      <c r="A519" t="str">
        <v>Headphones, Laptop, Keyboard, Speaker</v>
      </c>
      <c r="E519" t="str">
        <v>Home Office</v>
      </c>
      <c r="I519" t="str">
        <v>Nigeria</v>
      </c>
    </row>
    <row r="520" spans="1:9" x14ac:dyDescent="0.35">
      <c r="A520" t="str">
        <v>Smartphone, Smart Watch, Router</v>
      </c>
      <c r="E520" t="str">
        <v>Consumer</v>
      </c>
      <c r="I520" t="str">
        <v>UK</v>
      </c>
    </row>
    <row r="521" spans="1:9" x14ac:dyDescent="0.35">
      <c r="A521" t="str">
        <v>Laptop, Projector, Printer</v>
      </c>
      <c r="E521" t="str">
        <v>Consumer</v>
      </c>
      <c r="I521" t="str">
        <v>India</v>
      </c>
    </row>
    <row r="522" spans="1:9" x14ac:dyDescent="0.35">
      <c r="A522" t="str">
        <v>Webcam, Laptop, Desk Chair, External Hard Drive</v>
      </c>
      <c r="E522" t="str">
        <v>Corporate</v>
      </c>
      <c r="I522" t="str">
        <v>Japan</v>
      </c>
    </row>
    <row r="523" spans="1:9" x14ac:dyDescent="0.35">
      <c r="A523" t="str">
        <v>Desk Lamp, Desk Chair, Smart Watch</v>
      </c>
      <c r="E523" t="str">
        <v>Consumer</v>
      </c>
      <c r="I523" t="str">
        <v>USA</v>
      </c>
    </row>
    <row r="524" spans="1:9" x14ac:dyDescent="0.35">
      <c r="A524" t="str">
        <v>Desk Chair, Laptop, External Hard Drive</v>
      </c>
      <c r="E524" t="str">
        <v>Corporate</v>
      </c>
      <c r="I524" t="str">
        <v>Nigeria</v>
      </c>
    </row>
    <row r="525" spans="1:9" x14ac:dyDescent="0.35">
      <c r="A525" t="str">
        <v>Tablet, Desk Chair, Projector, Headphones</v>
      </c>
      <c r="E525" t="str">
        <v>Consumer</v>
      </c>
      <c r="I525" t="str">
        <v>Nigeria</v>
      </c>
    </row>
    <row r="526" spans="1:9" x14ac:dyDescent="0.35">
      <c r="A526" t="str">
        <v>Projector, Webcam, Tablet, Speaker, Mouse</v>
      </c>
      <c r="E526" t="str">
        <v>Home Office</v>
      </c>
      <c r="I526" t="str">
        <v>Nigeria</v>
      </c>
    </row>
    <row r="527" spans="1:9" x14ac:dyDescent="0.35">
      <c r="A527" t="str">
        <v>Headphones, Smartphone, Monitor, Printer</v>
      </c>
      <c r="E527" t="str">
        <v>Consumer</v>
      </c>
      <c r="I527" t="str">
        <v>USA</v>
      </c>
    </row>
    <row r="528" spans="1:9" x14ac:dyDescent="0.35">
      <c r="A528" t="str">
        <v>Laptop, Monitor, External Hard Drive</v>
      </c>
      <c r="E528" t="str">
        <v>Consumer</v>
      </c>
      <c r="I528" t="str">
        <v>Japan</v>
      </c>
    </row>
    <row r="529" spans="1:9" x14ac:dyDescent="0.35">
      <c r="A529" t="str">
        <v>Desk Lamp, Desk Chair, External Hard Drive</v>
      </c>
      <c r="E529" t="str">
        <v>Consumer</v>
      </c>
      <c r="I529" t="str">
        <v>Germany</v>
      </c>
    </row>
    <row r="530" spans="1:9" x14ac:dyDescent="0.35">
      <c r="A530" t="str">
        <v>Smart Watch, Projector, Router</v>
      </c>
      <c r="E530" t="str">
        <v>Consumer</v>
      </c>
      <c r="I530" t="str">
        <v>India</v>
      </c>
    </row>
    <row r="531" spans="1:9" x14ac:dyDescent="0.35">
      <c r="A531" t="str">
        <v>Router, Desk Lamp, Webcam</v>
      </c>
      <c r="E531" t="str">
        <v>Consumer</v>
      </c>
      <c r="I531" t="str">
        <v>Japan</v>
      </c>
    </row>
    <row r="532" spans="1:9" x14ac:dyDescent="0.35">
      <c r="A532" t="str">
        <v>Laptop, Projector, External Hard Drive, Smart Watch</v>
      </c>
      <c r="E532" t="str">
        <v>Home Office</v>
      </c>
      <c r="I532" t="str">
        <v>Germany</v>
      </c>
    </row>
    <row r="533" spans="1:9" x14ac:dyDescent="0.35">
      <c r="A533" t="str">
        <v>Smartphone, Projector, Mouse</v>
      </c>
      <c r="E533" t="str">
        <v>Home Office</v>
      </c>
      <c r="I533" t="str">
        <v>Canada</v>
      </c>
    </row>
    <row r="534" spans="1:9" x14ac:dyDescent="0.35">
      <c r="A534" t="str">
        <v>Printer, Desk Chair, External Hard Drive, Smart Watch</v>
      </c>
      <c r="E534" t="str">
        <v>Corporate</v>
      </c>
      <c r="I534" t="str">
        <v>Japan</v>
      </c>
    </row>
    <row r="535" spans="1:9" x14ac:dyDescent="0.35">
      <c r="A535" t="str">
        <v>Webcam, Laptop, Desk Chair, Mouse, Desk Lamp</v>
      </c>
      <c r="E535" t="str">
        <v>Home Office</v>
      </c>
      <c r="I535" t="str">
        <v>India</v>
      </c>
    </row>
    <row r="536" spans="1:9" x14ac:dyDescent="0.35">
      <c r="A536" t="str">
        <v>Mouse, Keyboard, Projector, Printer</v>
      </c>
      <c r="E536" t="str">
        <v>Home Office</v>
      </c>
      <c r="I536" t="str">
        <v>France</v>
      </c>
    </row>
    <row r="537" spans="1:9" x14ac:dyDescent="0.35">
      <c r="A537" t="str">
        <v>Router, Headphones, External Hard Drive</v>
      </c>
      <c r="E537" t="str">
        <v>Corporate</v>
      </c>
      <c r="I537" t="str">
        <v>Nigeria</v>
      </c>
    </row>
    <row r="538" spans="1:9" x14ac:dyDescent="0.35">
      <c r="A538" t="str">
        <v>Tablet, Smart Watch, Smartphone, External Hard Drive</v>
      </c>
      <c r="E538" t="str">
        <v>Consumer</v>
      </c>
      <c r="I538" t="str">
        <v>Australia</v>
      </c>
    </row>
    <row r="539" spans="1:9" x14ac:dyDescent="0.35">
      <c r="A539" t="str">
        <v>Projector, Keyboard, Desk Lamp, Monitor, Router</v>
      </c>
      <c r="E539" t="str">
        <v>Consumer</v>
      </c>
      <c r="I539" t="str">
        <v>Brazil</v>
      </c>
    </row>
    <row r="540" spans="1:9" x14ac:dyDescent="0.35">
      <c r="A540" t="str">
        <v>Monitor, Desk Chair, Tablet, Projector</v>
      </c>
      <c r="E540" t="str">
        <v>Consumer</v>
      </c>
      <c r="I540" t="str">
        <v>Canada</v>
      </c>
    </row>
    <row r="541" spans="1:9" x14ac:dyDescent="0.35">
      <c r="A541" t="str">
        <v>Mouse, Router, Headphones, Smart Watch</v>
      </c>
      <c r="E541" t="str">
        <v>Corporate</v>
      </c>
      <c r="I541" t="str">
        <v>Japan</v>
      </c>
    </row>
    <row r="542" spans="1:9" x14ac:dyDescent="0.35">
      <c r="A542" t="str">
        <v>Keyboard, Mouse, Headphones, Laptop, Speaker</v>
      </c>
      <c r="E542" t="str">
        <v>Home Office</v>
      </c>
      <c r="I542" t="str">
        <v>UK</v>
      </c>
    </row>
    <row r="543" spans="1:9" x14ac:dyDescent="0.35">
      <c r="A543" t="str">
        <v>Mouse, Headphones, Router, External Hard Drive, Speaker</v>
      </c>
      <c r="E543" t="str">
        <v>Corporate</v>
      </c>
      <c r="I543" t="str">
        <v>Brazil</v>
      </c>
    </row>
    <row r="544" spans="1:9" x14ac:dyDescent="0.35">
      <c r="A544" t="str">
        <v>Speaker, Mouse, Router</v>
      </c>
      <c r="E544" t="str">
        <v>Consumer</v>
      </c>
      <c r="I544" t="str">
        <v>Australia</v>
      </c>
    </row>
    <row r="545" spans="1:9" x14ac:dyDescent="0.35">
      <c r="A545" t="str">
        <v>Desk Lamp, Smart Watch, Mouse, Router</v>
      </c>
      <c r="E545" t="str">
        <v>Corporate</v>
      </c>
      <c r="I545" t="str">
        <v>Nigeria</v>
      </c>
    </row>
    <row r="546" spans="1:9" x14ac:dyDescent="0.35">
      <c r="A546" t="str">
        <v>External Hard Drive, Keyboard, Webcam</v>
      </c>
      <c r="E546" t="str">
        <v>Consumer</v>
      </c>
      <c r="I546" t="str">
        <v>France</v>
      </c>
    </row>
    <row r="547" spans="1:9" x14ac:dyDescent="0.35">
      <c r="A547" t="str">
        <v>Monitor, Mouse, Headphones, Smart Watch, Speaker</v>
      </c>
      <c r="E547" t="str">
        <v>Consumer</v>
      </c>
      <c r="I547" t="str">
        <v>Nigeria</v>
      </c>
    </row>
    <row r="548" spans="1:9" x14ac:dyDescent="0.35">
      <c r="A548" t="str">
        <v>Router, Webcam, Smart Watch, Printer</v>
      </c>
      <c r="E548" t="str">
        <v>Consumer</v>
      </c>
      <c r="I548" t="str">
        <v>Australia</v>
      </c>
    </row>
    <row r="549" spans="1:9" x14ac:dyDescent="0.35">
      <c r="A549" t="str">
        <v>Webcam, Mouse, Desk Lamp</v>
      </c>
      <c r="E549" t="str">
        <v>Home Office</v>
      </c>
      <c r="I549" t="str">
        <v>Brazil</v>
      </c>
    </row>
    <row r="550" spans="1:9" x14ac:dyDescent="0.35">
      <c r="A550" t="str">
        <v>Keyboard, Router, Webcam</v>
      </c>
      <c r="E550" t="str">
        <v>Corporate</v>
      </c>
      <c r="I550" t="str">
        <v>UK</v>
      </c>
    </row>
    <row r="551" spans="1:9" x14ac:dyDescent="0.35">
      <c r="A551" t="str">
        <v>Mouse, Webcam, Laptop, Desk Chair, Printer</v>
      </c>
      <c r="E551" t="str">
        <v>Corporate</v>
      </c>
      <c r="I551" t="str">
        <v>Canada</v>
      </c>
    </row>
    <row r="552" spans="1:9" x14ac:dyDescent="0.35">
      <c r="A552" t="str">
        <v>Monitor, Speaker, Headphones, Tablet, Router</v>
      </c>
      <c r="E552" t="str">
        <v>Corporate</v>
      </c>
      <c r="I552" t="str">
        <v>UK</v>
      </c>
    </row>
    <row r="553" spans="1:9" x14ac:dyDescent="0.35">
      <c r="A553" t="str">
        <v>Monitor, Desk Chair, Smart Watch, Speaker, Webcam</v>
      </c>
      <c r="E553" t="str">
        <v>Consumer</v>
      </c>
      <c r="I553" t="str">
        <v>Canada</v>
      </c>
    </row>
    <row r="554" spans="1:9" x14ac:dyDescent="0.35">
      <c r="A554" t="str">
        <v>Smart Watch, Speaker, External Hard Drive, Projector</v>
      </c>
      <c r="E554" t="str">
        <v>Corporate</v>
      </c>
      <c r="I554" t="str">
        <v>Australia</v>
      </c>
    </row>
    <row r="555" spans="1:9" x14ac:dyDescent="0.35">
      <c r="A555" t="str">
        <v>Laptop, Keyboard, Speaker, Projector, Monitor</v>
      </c>
      <c r="E555" t="str">
        <v>Corporate</v>
      </c>
      <c r="I555" t="str">
        <v>France</v>
      </c>
    </row>
    <row r="556" spans="1:9" x14ac:dyDescent="0.35">
      <c r="A556" t="str">
        <v>Smartphone, Tablet, Headphones, Printer</v>
      </c>
      <c r="E556" t="str">
        <v>Corporate</v>
      </c>
      <c r="I556" t="str">
        <v>Australia</v>
      </c>
    </row>
    <row r="557" spans="1:9" x14ac:dyDescent="0.35">
      <c r="A557" t="str">
        <v>Headphones, Speaker, Desk Chair, Smartphone</v>
      </c>
      <c r="E557" t="str">
        <v>Corporate</v>
      </c>
      <c r="I557" t="str">
        <v>Australia</v>
      </c>
    </row>
    <row r="558" spans="1:9" x14ac:dyDescent="0.35">
      <c r="A558" t="str">
        <v>Smart Watch, Router, Desk Chair, Printer</v>
      </c>
      <c r="E558" t="str">
        <v>Corporate</v>
      </c>
      <c r="I558" t="str">
        <v>Australia</v>
      </c>
    </row>
    <row r="559" spans="1:9" x14ac:dyDescent="0.35">
      <c r="A559" t="str">
        <v>Laptop, Monitor, Router, Mouse</v>
      </c>
      <c r="E559" t="str">
        <v>Home Office</v>
      </c>
      <c r="I559" t="str">
        <v>Japan</v>
      </c>
    </row>
    <row r="560" spans="1:9" x14ac:dyDescent="0.35">
      <c r="A560" t="str">
        <v>Tablet, External Hard Drive, Desk Lamp, Printer</v>
      </c>
      <c r="E560" t="str">
        <v>Home Office</v>
      </c>
      <c r="I560" t="str">
        <v>India</v>
      </c>
    </row>
    <row r="561" spans="1:9" x14ac:dyDescent="0.35">
      <c r="A561" t="str">
        <v>Smartphone, Mouse, Desk Chair, Monitor</v>
      </c>
      <c r="E561" t="str">
        <v>Home Office</v>
      </c>
      <c r="I561" t="str">
        <v>Brazil</v>
      </c>
    </row>
    <row r="562" spans="1:9" x14ac:dyDescent="0.35">
      <c r="A562" t="str">
        <v>Smart Watch, Webcam, Keyboard, Headphones</v>
      </c>
      <c r="E562" t="str">
        <v>Home Office</v>
      </c>
      <c r="I562" t="str">
        <v>Japan</v>
      </c>
    </row>
    <row r="563" spans="1:9" x14ac:dyDescent="0.35">
      <c r="A563" t="str">
        <v>Mouse, External Hard Drive, Keyboard</v>
      </c>
      <c r="E563" t="str">
        <v>Consumer</v>
      </c>
      <c r="I563" t="str">
        <v>Nigeria</v>
      </c>
    </row>
    <row r="564" spans="1:9" x14ac:dyDescent="0.35">
      <c r="A564" t="str">
        <v>Smart Watch, Mouse, Speaker, Tablet</v>
      </c>
      <c r="E564" t="str">
        <v>Corporate</v>
      </c>
      <c r="I564" t="str">
        <v>Japan</v>
      </c>
    </row>
    <row r="565" spans="1:9" x14ac:dyDescent="0.35">
      <c r="A565" t="str">
        <v>Speaker, Laptop, Smartphone, Router</v>
      </c>
      <c r="E565" t="str">
        <v>Consumer</v>
      </c>
      <c r="I565" t="str">
        <v>Brazil</v>
      </c>
    </row>
    <row r="566" spans="1:9" x14ac:dyDescent="0.35">
      <c r="A566" t="str">
        <v>Headphones, Webcam, Desk Chair, External Hard Drive, Laptop</v>
      </c>
      <c r="E566" t="str">
        <v>Home Office</v>
      </c>
      <c r="I566" t="str">
        <v>Nigeria</v>
      </c>
    </row>
    <row r="567" spans="1:9" x14ac:dyDescent="0.35">
      <c r="A567" t="str">
        <v>Monitor, Printer, Desk Chair, Webcam, Desk Lamp</v>
      </c>
      <c r="E567" t="str">
        <v>Home Office</v>
      </c>
      <c r="I567" t="str">
        <v>Japan</v>
      </c>
    </row>
    <row r="568" spans="1:9" x14ac:dyDescent="0.35">
      <c r="A568" t="str">
        <v>External Hard Drive, Laptop, Printer</v>
      </c>
      <c r="E568" t="str">
        <v>Home Office</v>
      </c>
      <c r="I568" t="str">
        <v>Brazil</v>
      </c>
    </row>
    <row r="569" spans="1:9" x14ac:dyDescent="0.35">
      <c r="A569" t="str">
        <v>Tablet, Printer, Smart Watch, Router, Keyboard</v>
      </c>
      <c r="E569" t="str">
        <v>Corporate</v>
      </c>
      <c r="I569" t="str">
        <v>Canada</v>
      </c>
    </row>
    <row r="570" spans="1:9" x14ac:dyDescent="0.35">
      <c r="A570" t="str">
        <v>Printer, External Hard Drive, Desk Chair, Smart Watch</v>
      </c>
      <c r="E570" t="str">
        <v>Corporate</v>
      </c>
      <c r="I570" t="str">
        <v>UK</v>
      </c>
    </row>
    <row r="571" spans="1:9" x14ac:dyDescent="0.35">
      <c r="A571" t="str">
        <v>Printer, Projector, External Hard Drive, Router</v>
      </c>
      <c r="E571" t="str">
        <v>Consumer</v>
      </c>
      <c r="I571" t="str">
        <v>USA</v>
      </c>
    </row>
    <row r="572" spans="1:9" x14ac:dyDescent="0.35">
      <c r="A572" t="str">
        <v>Desk Lamp, Keyboard, Smart Watch, Router, Headphones</v>
      </c>
      <c r="E572" t="str">
        <v>Corporate</v>
      </c>
      <c r="I572" t="str">
        <v>Japan</v>
      </c>
    </row>
    <row r="573" spans="1:9" x14ac:dyDescent="0.35">
      <c r="A573" t="str">
        <v>Speaker, Headphones, Desk Lamp</v>
      </c>
      <c r="E573" t="str">
        <v>Corporate</v>
      </c>
      <c r="I573" t="str">
        <v>USA</v>
      </c>
    </row>
    <row r="574" spans="1:9" x14ac:dyDescent="0.35">
      <c r="A574" t="str">
        <v>Mouse, Tablet, Desk Lamp, Router</v>
      </c>
      <c r="E574" t="str">
        <v>Consumer</v>
      </c>
      <c r="I574" t="str">
        <v>USA</v>
      </c>
    </row>
    <row r="575" spans="1:9" x14ac:dyDescent="0.35">
      <c r="A575" t="str">
        <v>Webcam, Headphones, Desk Lamp, Mouse, Smart Watch</v>
      </c>
      <c r="E575" t="str">
        <v>Home Office</v>
      </c>
      <c r="I575" t="str">
        <v>USA</v>
      </c>
    </row>
    <row r="576" spans="1:9" x14ac:dyDescent="0.35">
      <c r="A576" t="str">
        <v>Keyboard, Headphones, Smartphone, Smart Watch, Speaker</v>
      </c>
      <c r="E576" t="str">
        <v>Corporate</v>
      </c>
      <c r="I576" t="str">
        <v>USA</v>
      </c>
    </row>
    <row r="577" spans="1:9" x14ac:dyDescent="0.35">
      <c r="A577" t="str">
        <v>Laptop, Router, Webcam, Projector</v>
      </c>
      <c r="E577" t="str">
        <v>Consumer</v>
      </c>
      <c r="I577" t="str">
        <v>Germany</v>
      </c>
    </row>
    <row r="578" spans="1:9" x14ac:dyDescent="0.35">
      <c r="A578" t="str">
        <v>Speaker, Printer, Smart Watch, Desk Chair, Desk Lamp</v>
      </c>
      <c r="E578" t="str">
        <v>Corporate</v>
      </c>
      <c r="I578" t="str">
        <v>Brazil</v>
      </c>
    </row>
    <row r="579" spans="1:9" x14ac:dyDescent="0.35">
      <c r="A579" t="str">
        <v>External Hard Drive, Smartphone, Mouse, Monitor</v>
      </c>
      <c r="E579" t="str">
        <v>Home Office</v>
      </c>
      <c r="I579" t="str">
        <v>France</v>
      </c>
    </row>
    <row r="580" spans="1:9" x14ac:dyDescent="0.35">
      <c r="A580" t="str">
        <v>Desk Chair, External Hard Drive, Tablet, Monitor, Printer</v>
      </c>
      <c r="E580" t="str">
        <v>Corporate</v>
      </c>
      <c r="I580" t="str">
        <v>Nigeria</v>
      </c>
    </row>
    <row r="581" spans="1:9" x14ac:dyDescent="0.35">
      <c r="A581" t="str">
        <v>Router, Projector, Desk Chair, Printer, Monitor</v>
      </c>
      <c r="E581" t="str">
        <v>Home Office</v>
      </c>
      <c r="I581" t="str">
        <v>UK</v>
      </c>
    </row>
    <row r="582" spans="1:9" x14ac:dyDescent="0.35">
      <c r="A582" t="str">
        <v>Smartphone, Speaker, Monitor</v>
      </c>
      <c r="E582" t="str">
        <v>Consumer</v>
      </c>
      <c r="I582" t="str">
        <v>Brazil</v>
      </c>
    </row>
    <row r="583" spans="1:9" x14ac:dyDescent="0.35">
      <c r="A583" t="str">
        <v>Smartphone, Router, Projector, Desk Lamp, Desk Chair</v>
      </c>
      <c r="E583" t="str">
        <v>Home Office</v>
      </c>
      <c r="I583" t="str">
        <v>Nigeria</v>
      </c>
    </row>
    <row r="584" spans="1:9" x14ac:dyDescent="0.35">
      <c r="A584" t="str">
        <v>Keyboard, Speaker, External Hard Drive, Webcam</v>
      </c>
      <c r="E584" t="str">
        <v>Corporate</v>
      </c>
      <c r="I584" t="str">
        <v>Australia</v>
      </c>
    </row>
    <row r="585" spans="1:9" x14ac:dyDescent="0.35">
      <c r="A585" t="str">
        <v>Smart Watch, Router, Projector</v>
      </c>
      <c r="E585" t="str">
        <v>Consumer</v>
      </c>
      <c r="I585" t="str">
        <v>France</v>
      </c>
    </row>
    <row r="586" spans="1:9" x14ac:dyDescent="0.35">
      <c r="A586" t="str">
        <v>Projector, External Hard Drive, Printer</v>
      </c>
      <c r="E586" t="str">
        <v>Corporate</v>
      </c>
      <c r="I586" t="str">
        <v>India</v>
      </c>
    </row>
    <row r="587" spans="1:9" x14ac:dyDescent="0.35">
      <c r="A587" t="str">
        <v>Printer, Webcam, External Hard Drive</v>
      </c>
      <c r="E587" t="str">
        <v>Consumer</v>
      </c>
      <c r="I587" t="str">
        <v>Japan</v>
      </c>
    </row>
    <row r="588" spans="1:9" x14ac:dyDescent="0.35">
      <c r="A588" t="str">
        <v>Laptop, Projector, Speaker, Tablet</v>
      </c>
      <c r="E588" t="str">
        <v>Home Office</v>
      </c>
      <c r="I588" t="str">
        <v>Japan</v>
      </c>
    </row>
    <row r="589" spans="1:9" x14ac:dyDescent="0.35">
      <c r="A589" t="str">
        <v>Speaker, External Hard Drive, Laptop, Desk Chair, Printer</v>
      </c>
      <c r="E589" t="str">
        <v>Consumer</v>
      </c>
      <c r="I589" t="str">
        <v>USA</v>
      </c>
    </row>
    <row r="590" spans="1:9" x14ac:dyDescent="0.35">
      <c r="A590" t="str">
        <v>Tablet, Laptop, Desk Chair, Projector, Smart Watch</v>
      </c>
      <c r="E590" t="str">
        <v>Home Office</v>
      </c>
      <c r="I590" t="str">
        <v>USA</v>
      </c>
    </row>
    <row r="591" spans="1:9" x14ac:dyDescent="0.35">
      <c r="A591" t="str">
        <v>Desk Chair, Tablet, Desk Lamp</v>
      </c>
      <c r="E591" t="str">
        <v>Home Office</v>
      </c>
      <c r="I591" t="str">
        <v>Germany</v>
      </c>
    </row>
    <row r="592" spans="1:9" x14ac:dyDescent="0.35">
      <c r="A592" t="str">
        <v>Keyboard, Desk Chair, Smartphone, Headphones</v>
      </c>
      <c r="E592" t="str">
        <v>Home Office</v>
      </c>
      <c r="I592" t="str">
        <v>Canada</v>
      </c>
    </row>
    <row r="593" spans="1:9" x14ac:dyDescent="0.35">
      <c r="A593" t="str">
        <v>Desk Chair, Laptop, Projector, Speaker, Tablet</v>
      </c>
      <c r="E593" t="str">
        <v>Corporate</v>
      </c>
      <c r="I593" t="str">
        <v>Australia</v>
      </c>
    </row>
    <row r="594" spans="1:9" x14ac:dyDescent="0.35">
      <c r="A594" t="str">
        <v>Tablet, Smartphone, Printer, Projector, Speaker</v>
      </c>
      <c r="E594" t="str">
        <v>Consumer</v>
      </c>
      <c r="I594" t="str">
        <v>Germany</v>
      </c>
    </row>
    <row r="595" spans="1:9" x14ac:dyDescent="0.35">
      <c r="A595" t="str">
        <v>Desk Chair, External Hard Drive, Projector</v>
      </c>
      <c r="E595" t="str">
        <v>Home Office</v>
      </c>
      <c r="I595" t="str">
        <v>USA</v>
      </c>
    </row>
    <row r="596" spans="1:9" x14ac:dyDescent="0.35">
      <c r="A596" t="str">
        <v>Projector, Laptop, Tablet, Headphones</v>
      </c>
      <c r="E596" t="str">
        <v>Consumer</v>
      </c>
      <c r="I596" t="str">
        <v>France</v>
      </c>
    </row>
    <row r="597" spans="1:9" x14ac:dyDescent="0.35">
      <c r="A597" t="str">
        <v>Headphones, Speaker, Mouse, Projector</v>
      </c>
      <c r="E597" t="str">
        <v>Consumer</v>
      </c>
      <c r="I597" t="str">
        <v>Nigeria</v>
      </c>
    </row>
    <row r="598" spans="1:9" x14ac:dyDescent="0.35">
      <c r="A598" t="str">
        <v>Tablet, Router, Speaker, Desk Chair, Headphones</v>
      </c>
      <c r="E598" t="str">
        <v>Consumer</v>
      </c>
      <c r="I598" t="str">
        <v>Canada</v>
      </c>
    </row>
    <row r="599" spans="1:9" x14ac:dyDescent="0.35">
      <c r="A599" t="str">
        <v>Projector, Keyboard, Headphones, Desk Lamp, Router</v>
      </c>
      <c r="E599" t="str">
        <v>Corporate</v>
      </c>
      <c r="I599" t="str">
        <v>France</v>
      </c>
    </row>
    <row r="600" spans="1:9" x14ac:dyDescent="0.35">
      <c r="A600" t="str">
        <v>Smartphone, Monitor, Printer, Desk Lamp, Webcam</v>
      </c>
      <c r="E600" t="str">
        <v>Home Office</v>
      </c>
      <c r="I600" t="str">
        <v>UK</v>
      </c>
    </row>
    <row r="601" spans="1:9" x14ac:dyDescent="0.35">
      <c r="A601" t="str">
        <v>Router, Speaker, Webcam</v>
      </c>
      <c r="E601" t="str">
        <v>Corporate</v>
      </c>
      <c r="I601" t="str">
        <v>Germany</v>
      </c>
    </row>
    <row r="602" spans="1:9" x14ac:dyDescent="0.35">
      <c r="A602" t="str">
        <v>Mouse, Printer, Monitor, Desk Chair, Webcam</v>
      </c>
      <c r="E602" t="str">
        <v>Corporate</v>
      </c>
      <c r="I602" t="str">
        <v>India</v>
      </c>
    </row>
    <row r="603" spans="1:9" x14ac:dyDescent="0.35">
      <c r="A603" t="str">
        <v>Laptop, Tablet, Smartphone, Monitor</v>
      </c>
      <c r="E603" t="str">
        <v>Corporate</v>
      </c>
      <c r="I603" t="str">
        <v>USA</v>
      </c>
    </row>
    <row r="604" spans="1:9" x14ac:dyDescent="0.35">
      <c r="A604" t="str">
        <v>Tablet, Speaker, Webcam, Desk Lamp</v>
      </c>
      <c r="E604" t="str">
        <v>Consumer</v>
      </c>
      <c r="I604" t="str">
        <v>Germany</v>
      </c>
    </row>
    <row r="605" spans="1:9" x14ac:dyDescent="0.35">
      <c r="A605" t="str">
        <v>Headphones, Laptop, External Hard Drive, Router, Desk Lamp</v>
      </c>
      <c r="E605" t="str">
        <v>Corporate</v>
      </c>
      <c r="I605" t="str">
        <v>India</v>
      </c>
    </row>
    <row r="606" spans="1:9" x14ac:dyDescent="0.35">
      <c r="A606" t="str">
        <v>Keyboard, Mouse, Laptop, Smartphone</v>
      </c>
      <c r="E606" t="str">
        <v>Corporate</v>
      </c>
      <c r="I606" t="str">
        <v>UK</v>
      </c>
    </row>
    <row r="607" spans="1:9" x14ac:dyDescent="0.35">
      <c r="A607" t="str">
        <v>Projector, Desk Chair, Mouse</v>
      </c>
      <c r="E607" t="str">
        <v>Home Office</v>
      </c>
      <c r="I607" t="str">
        <v>UK</v>
      </c>
    </row>
    <row r="608" spans="1:9" x14ac:dyDescent="0.35">
      <c r="A608" t="str">
        <v>Headphones, Printer, Mouse, Webcam, Projector</v>
      </c>
      <c r="E608" t="str">
        <v>Corporate</v>
      </c>
      <c r="I608" t="str">
        <v>India</v>
      </c>
    </row>
    <row r="609" spans="1:9" x14ac:dyDescent="0.35">
      <c r="A609" t="str">
        <v>Desk Lamp, Router, Monitor</v>
      </c>
      <c r="E609" t="str">
        <v>Home Office</v>
      </c>
      <c r="I609" t="str">
        <v>Canada</v>
      </c>
    </row>
    <row r="610" spans="1:9" x14ac:dyDescent="0.35">
      <c r="A610" t="str">
        <v>Mouse, Printer, Keyboard, Smartphone, Laptop</v>
      </c>
      <c r="E610" t="str">
        <v>Corporate</v>
      </c>
      <c r="I610" t="str">
        <v>Brazil</v>
      </c>
    </row>
    <row r="611" spans="1:9" x14ac:dyDescent="0.35">
      <c r="A611" t="str">
        <v>Headphones, Router, Smart Watch, Projector</v>
      </c>
      <c r="E611" t="str">
        <v>Home Office</v>
      </c>
      <c r="I611" t="str">
        <v>USA</v>
      </c>
    </row>
    <row r="612" spans="1:9" x14ac:dyDescent="0.35">
      <c r="A612" t="str">
        <v>Keyboard, Smartphone, Smart Watch</v>
      </c>
      <c r="E612" t="str">
        <v>Corporate</v>
      </c>
      <c r="I612" t="str">
        <v>Japan</v>
      </c>
    </row>
    <row r="613" spans="1:9" x14ac:dyDescent="0.35">
      <c r="A613" t="str">
        <v>Desk Lamp, Router, Desk Chair, External Hard Drive</v>
      </c>
      <c r="E613" t="str">
        <v>Corporate</v>
      </c>
      <c r="I613" t="str">
        <v>Brazil</v>
      </c>
    </row>
    <row r="614" spans="1:9" x14ac:dyDescent="0.35">
      <c r="A614" t="str">
        <v>External Hard Drive, Mouse, Keyboard, Desk Chair, Webcam</v>
      </c>
      <c r="E614" t="str">
        <v>Corporate</v>
      </c>
      <c r="I614" t="str">
        <v>India</v>
      </c>
    </row>
    <row r="615" spans="1:9" x14ac:dyDescent="0.35">
      <c r="A615" t="str">
        <v>Smart Watch, Router, Laptop, External Hard Drive, Desk Lamp</v>
      </c>
      <c r="E615" t="str">
        <v>Consumer</v>
      </c>
      <c r="I615" t="str">
        <v>Nigeria</v>
      </c>
    </row>
    <row r="616" spans="1:9" x14ac:dyDescent="0.35">
      <c r="A616" t="str">
        <v>Mouse, Keyboard, Printer, Webcam</v>
      </c>
      <c r="E616" t="str">
        <v>Consumer</v>
      </c>
      <c r="I616" t="str">
        <v>Japan</v>
      </c>
    </row>
    <row r="617" spans="1:9" x14ac:dyDescent="0.35">
      <c r="A617" t="str">
        <v>Desk Lamp, Webcam, Projector, Smartphone</v>
      </c>
      <c r="E617" t="str">
        <v>Home Office</v>
      </c>
      <c r="I617" t="str">
        <v>Canada</v>
      </c>
    </row>
    <row r="618" spans="1:9" x14ac:dyDescent="0.35">
      <c r="A618" t="str">
        <v>Headphones, Printer, Monitor</v>
      </c>
      <c r="E618" t="str">
        <v>Consumer</v>
      </c>
      <c r="I618" t="str">
        <v>Australia</v>
      </c>
    </row>
    <row r="619" spans="1:9" x14ac:dyDescent="0.35">
      <c r="A619" t="str">
        <v>Desk Chair, Headphones, Tablet, Keyboard</v>
      </c>
      <c r="E619" t="str">
        <v>Corporate</v>
      </c>
      <c r="I619" t="str">
        <v>Canada</v>
      </c>
    </row>
    <row r="620" spans="1:9" x14ac:dyDescent="0.35">
      <c r="A620" t="str">
        <v>Monitor, External Hard Drive, Headphones, Desk Chair, Speaker</v>
      </c>
      <c r="E620" t="str">
        <v>Corporate</v>
      </c>
      <c r="I620" t="str">
        <v>Nigeria</v>
      </c>
    </row>
    <row r="621" spans="1:9" x14ac:dyDescent="0.35">
      <c r="A621" t="str">
        <v>Router, Webcam, Mouse</v>
      </c>
      <c r="E621" t="str">
        <v>Consumer</v>
      </c>
      <c r="I621" t="str">
        <v>Japan</v>
      </c>
    </row>
    <row r="622" spans="1:9" x14ac:dyDescent="0.35">
      <c r="A622" t="str">
        <v>Laptop, Router, External Hard Drive, Desk Chair</v>
      </c>
      <c r="E622" t="str">
        <v>Home Office</v>
      </c>
      <c r="I622" t="str">
        <v>India</v>
      </c>
    </row>
    <row r="623" spans="1:9" x14ac:dyDescent="0.35">
      <c r="A623" t="str">
        <v>Printer, Webcam, External Hard Drive, Headphones</v>
      </c>
      <c r="E623" t="str">
        <v>Corporate</v>
      </c>
      <c r="I623" t="str">
        <v>Australia</v>
      </c>
    </row>
    <row r="624" spans="1:9" x14ac:dyDescent="0.35">
      <c r="A624" t="str">
        <v>Router, Smart Watch, Webcam, Laptop, Smartphone</v>
      </c>
      <c r="E624" t="str">
        <v>Corporate</v>
      </c>
      <c r="I624" t="str">
        <v>Nigeria</v>
      </c>
    </row>
    <row r="625" spans="1:9" x14ac:dyDescent="0.35">
      <c r="A625" t="str">
        <v>Printer, Smartphone, External Hard Drive, Keyboard, Webcam</v>
      </c>
      <c r="E625" t="str">
        <v>Home Office</v>
      </c>
      <c r="I625" t="str">
        <v>Brazil</v>
      </c>
    </row>
    <row r="626" spans="1:9" x14ac:dyDescent="0.35">
      <c r="A626" t="str">
        <v>Monitor, Keyboard, Router</v>
      </c>
      <c r="E626" t="str">
        <v>Home Office</v>
      </c>
      <c r="I626" t="str">
        <v>USA</v>
      </c>
    </row>
    <row r="627" spans="1:9" x14ac:dyDescent="0.35">
      <c r="A627" t="str">
        <v>Router, Keyboard, Speaker</v>
      </c>
      <c r="E627" t="str">
        <v>Corporate</v>
      </c>
      <c r="I627" t="str">
        <v>India</v>
      </c>
    </row>
    <row r="628" spans="1:9" x14ac:dyDescent="0.35">
      <c r="A628" t="str">
        <v>Speaker, Laptop, Tablet, Smart Watch</v>
      </c>
      <c r="E628" t="str">
        <v>Consumer</v>
      </c>
      <c r="I628" t="str">
        <v>Canada</v>
      </c>
    </row>
    <row r="629" spans="1:9" x14ac:dyDescent="0.35">
      <c r="A629" t="str">
        <v>Printer, External Hard Drive, Smartphone</v>
      </c>
      <c r="E629" t="str">
        <v>Corporate</v>
      </c>
      <c r="I629" t="str">
        <v>Australia</v>
      </c>
    </row>
    <row r="630" spans="1:9" x14ac:dyDescent="0.35">
      <c r="A630" t="str">
        <v>Headphones, Mouse, Tablet</v>
      </c>
      <c r="E630" t="str">
        <v>Corporate</v>
      </c>
      <c r="I630" t="str">
        <v>Germany</v>
      </c>
    </row>
    <row r="631" spans="1:9" x14ac:dyDescent="0.35">
      <c r="A631" t="str">
        <v>Tablet, Monitor, Keyboard, Laptop</v>
      </c>
      <c r="E631" t="str">
        <v>Home Office</v>
      </c>
      <c r="I631" t="str">
        <v>France</v>
      </c>
    </row>
    <row r="632" spans="1:9" x14ac:dyDescent="0.35">
      <c r="A632" t="str">
        <v>Projector, Keyboard, Monitor</v>
      </c>
      <c r="E632" t="str">
        <v>Home Office</v>
      </c>
      <c r="I632" t="str">
        <v>Japan</v>
      </c>
    </row>
    <row r="633" spans="1:9" x14ac:dyDescent="0.35">
      <c r="A633" t="str">
        <v>Desk Lamp, External Hard Drive, Printer, Router, Webcam</v>
      </c>
      <c r="E633" t="str">
        <v>Home Office</v>
      </c>
      <c r="I633" t="str">
        <v>Brazil</v>
      </c>
    </row>
    <row r="634" spans="1:9" x14ac:dyDescent="0.35">
      <c r="A634" t="str">
        <v>Smartphone, Router, Smart Watch, Tablet, Laptop</v>
      </c>
      <c r="E634" t="str">
        <v>Home Office</v>
      </c>
      <c r="I634" t="str">
        <v>Japan</v>
      </c>
    </row>
    <row r="635" spans="1:9" x14ac:dyDescent="0.35">
      <c r="A635" t="str">
        <v>Keyboard, Webcam, Headphones, Projector</v>
      </c>
      <c r="E635" t="str">
        <v>Home Office</v>
      </c>
      <c r="I635" t="str">
        <v>Australia</v>
      </c>
    </row>
    <row r="636" spans="1:9" x14ac:dyDescent="0.35">
      <c r="A636" t="str">
        <v>Router, Webcam, Desk Lamp</v>
      </c>
      <c r="E636" t="str">
        <v>Consumer</v>
      </c>
      <c r="I636" t="str">
        <v>Japan</v>
      </c>
    </row>
    <row r="637" spans="1:9" x14ac:dyDescent="0.35">
      <c r="A637" t="str">
        <v>Speaker, External Hard Drive, Monitor, Tablet, Headphones</v>
      </c>
      <c r="E637" t="str">
        <v>Corporate</v>
      </c>
      <c r="I637" t="str">
        <v>UK</v>
      </c>
    </row>
    <row r="638" spans="1:9" x14ac:dyDescent="0.35">
      <c r="A638" t="str">
        <v>Mouse, Headphones, External Hard Drive, Desk Chair, Keyboard</v>
      </c>
      <c r="E638" t="str">
        <v>Corporate</v>
      </c>
      <c r="I638" t="str">
        <v>Australia</v>
      </c>
    </row>
    <row r="639" spans="1:9" x14ac:dyDescent="0.35">
      <c r="A639" t="str">
        <v>Tablet, Keyboard, Speaker</v>
      </c>
      <c r="E639" t="str">
        <v>Consumer</v>
      </c>
      <c r="I639" t="str">
        <v>Brazil</v>
      </c>
    </row>
    <row r="640" spans="1:9" x14ac:dyDescent="0.35">
      <c r="A640" t="str">
        <v>Smart Watch, Headphones, Desk Chair, Printer, External Hard Drive</v>
      </c>
      <c r="E640" t="str">
        <v>Home Office</v>
      </c>
      <c r="I640" t="str">
        <v>Canada</v>
      </c>
    </row>
    <row r="641" spans="1:9" x14ac:dyDescent="0.35">
      <c r="A641" t="str">
        <v>Monitor, Mouse, Speaker</v>
      </c>
      <c r="E641" t="str">
        <v>Corporate</v>
      </c>
      <c r="I641" t="str">
        <v>Germany</v>
      </c>
    </row>
    <row r="642" spans="1:9" x14ac:dyDescent="0.35">
      <c r="A642" t="str">
        <v>Printer, Monitor, Smart Watch, Desk Chair</v>
      </c>
      <c r="E642" t="str">
        <v>Home Office</v>
      </c>
      <c r="I642" t="str">
        <v>India</v>
      </c>
    </row>
    <row r="643" spans="1:9" x14ac:dyDescent="0.35">
      <c r="A643" t="str">
        <v>Mouse, Projector, Desk Chair, Keyboard, Laptop</v>
      </c>
      <c r="E643" t="str">
        <v>Corporate</v>
      </c>
      <c r="I643" t="str">
        <v>UK</v>
      </c>
    </row>
    <row r="644" spans="1:9" x14ac:dyDescent="0.35">
      <c r="A644" t="str">
        <v>Tablet, Smart Watch, Webcam</v>
      </c>
      <c r="E644" t="str">
        <v>Home Office</v>
      </c>
      <c r="I644" t="str">
        <v>Brazil</v>
      </c>
    </row>
    <row r="645" spans="1:9" x14ac:dyDescent="0.35">
      <c r="A645" t="str">
        <v>Desk Lamp, Desk Chair, Projector, External Hard Drive</v>
      </c>
      <c r="E645" t="str">
        <v>Home Office</v>
      </c>
      <c r="I645" t="str">
        <v>USA</v>
      </c>
    </row>
    <row r="646" spans="1:9" x14ac:dyDescent="0.35">
      <c r="A646" t="str">
        <v>Router, Desk Chair, Webcam, Speaker</v>
      </c>
      <c r="E646" t="str">
        <v>Corporate</v>
      </c>
      <c r="I646" t="str">
        <v>Australia</v>
      </c>
    </row>
    <row r="647" spans="1:9" x14ac:dyDescent="0.35">
      <c r="A647" t="str">
        <v>Smartphone, Projector, Desk Chair, Headphones</v>
      </c>
      <c r="E647" t="str">
        <v>Corporate</v>
      </c>
      <c r="I647" t="str">
        <v>Brazil</v>
      </c>
    </row>
    <row r="648" spans="1:9" x14ac:dyDescent="0.35">
      <c r="A648" t="str">
        <v>Monitor, Headphones, Mouse</v>
      </c>
      <c r="E648" t="str">
        <v>Consumer</v>
      </c>
      <c r="I648" t="str">
        <v>Germany</v>
      </c>
    </row>
    <row r="649" spans="1:9" x14ac:dyDescent="0.35">
      <c r="A649" t="str">
        <v>Speaker, Router, External Hard Drive</v>
      </c>
      <c r="E649" t="str">
        <v>Home Office</v>
      </c>
      <c r="I649" t="str">
        <v>India</v>
      </c>
    </row>
    <row r="650" spans="1:9" x14ac:dyDescent="0.35">
      <c r="A650" t="str">
        <v>Desk Chair, External Hard Drive, Mouse, Speaker</v>
      </c>
      <c r="E650" t="str">
        <v>Consumer</v>
      </c>
      <c r="I650" t="str">
        <v>Germany</v>
      </c>
    </row>
    <row r="651" spans="1:9" x14ac:dyDescent="0.35">
      <c r="A651" t="str">
        <v>Mouse, Smart Watch, Projector, Desk Lamp, Monitor</v>
      </c>
      <c r="E651" t="str">
        <v>Corporate</v>
      </c>
      <c r="I651" t="str">
        <v>UK</v>
      </c>
    </row>
    <row r="652" spans="1:9" x14ac:dyDescent="0.35">
      <c r="A652" t="str">
        <v>Laptop, Mouse, Keyboard</v>
      </c>
      <c r="E652" t="str">
        <v>Corporate</v>
      </c>
      <c r="I652" t="str">
        <v>UK</v>
      </c>
    </row>
    <row r="653" spans="1:9" x14ac:dyDescent="0.35">
      <c r="A653" t="str">
        <v>Headphones, External Hard Drive, Webcam, Tablet, Mouse</v>
      </c>
      <c r="E653" t="str">
        <v>Consumer</v>
      </c>
      <c r="I653" t="str">
        <v>India</v>
      </c>
    </row>
    <row r="654" spans="1:9" x14ac:dyDescent="0.35">
      <c r="A654" t="str">
        <v>Speaker, Tablet, Headphones</v>
      </c>
      <c r="E654" t="str">
        <v>Corporate</v>
      </c>
      <c r="I654" t="str">
        <v>Japan</v>
      </c>
    </row>
    <row r="655" spans="1:9" x14ac:dyDescent="0.35">
      <c r="A655" t="str">
        <v>Printer, Webcam, Keyboard, Desk Chair</v>
      </c>
      <c r="E655" t="str">
        <v>Consumer</v>
      </c>
      <c r="I655" t="str">
        <v>Brazil</v>
      </c>
    </row>
    <row r="656" spans="1:9" x14ac:dyDescent="0.35">
      <c r="A656" t="str">
        <v>Smart Watch, Desk Lamp, Printer, Tablet</v>
      </c>
      <c r="E656" t="str">
        <v>Corporate</v>
      </c>
      <c r="I656" t="str">
        <v>Australia</v>
      </c>
    </row>
    <row r="657" spans="1:9" x14ac:dyDescent="0.35">
      <c r="A657" t="str">
        <v>Smart Watch, Smartphone, Webcam, Desk Lamp</v>
      </c>
      <c r="E657" t="str">
        <v>Corporate</v>
      </c>
      <c r="I657" t="str">
        <v>USA</v>
      </c>
    </row>
    <row r="658" spans="1:9" x14ac:dyDescent="0.35">
      <c r="A658" t="str">
        <v>Speaker, Projector, Webcam, Smartphone, Mouse</v>
      </c>
      <c r="E658" t="str">
        <v>Corporate</v>
      </c>
      <c r="I658" t="str">
        <v>Nigeria</v>
      </c>
    </row>
    <row r="659" spans="1:9" x14ac:dyDescent="0.35">
      <c r="A659" t="str">
        <v>Monitor, Tablet, External Hard Drive, Webcam, Printer</v>
      </c>
      <c r="E659" t="str">
        <v>Consumer</v>
      </c>
      <c r="I659" t="str">
        <v>Nigeria</v>
      </c>
    </row>
    <row r="660" spans="1:9" x14ac:dyDescent="0.35">
      <c r="A660" t="str">
        <v>Monitor, Speaker, Smart Watch</v>
      </c>
      <c r="E660" t="str">
        <v>Home Office</v>
      </c>
      <c r="I660" t="str">
        <v>USA</v>
      </c>
    </row>
    <row r="661" spans="1:9" x14ac:dyDescent="0.35">
      <c r="A661" t="str">
        <v>Desk Lamp, Mouse, Tablet, Headphones</v>
      </c>
      <c r="E661" t="str">
        <v>Consumer</v>
      </c>
      <c r="I661" t="str">
        <v>UK</v>
      </c>
    </row>
    <row r="662" spans="1:9" x14ac:dyDescent="0.35">
      <c r="A662" t="str">
        <v>Smartphone, Router, Keyboard, Speaker, Projector</v>
      </c>
      <c r="E662" t="str">
        <v>Home Office</v>
      </c>
      <c r="I662" t="str">
        <v>France</v>
      </c>
    </row>
    <row r="663" spans="1:9" x14ac:dyDescent="0.35">
      <c r="A663" t="str">
        <v>Webcam, Smartphone, Router</v>
      </c>
      <c r="E663" t="str">
        <v>Home Office</v>
      </c>
      <c r="I663" t="str">
        <v>UK</v>
      </c>
    </row>
    <row r="664" spans="1:9" x14ac:dyDescent="0.35">
      <c r="A664" t="str">
        <v>Laptop, Smart Watch, External Hard Drive, Speaker</v>
      </c>
      <c r="E664" t="str">
        <v>Corporate</v>
      </c>
      <c r="I664" t="str">
        <v>Japan</v>
      </c>
    </row>
    <row r="665" spans="1:9" x14ac:dyDescent="0.35">
      <c r="A665" t="str">
        <v>Printer, Smartphone, Keyboard, Router</v>
      </c>
      <c r="E665" t="str">
        <v>Corporate</v>
      </c>
      <c r="I665" t="str">
        <v>UK</v>
      </c>
    </row>
    <row r="666" spans="1:9" x14ac:dyDescent="0.35">
      <c r="A666" t="str">
        <v>Router, Smartphone, Webcam, Projector</v>
      </c>
      <c r="E666" t="str">
        <v>Home Office</v>
      </c>
      <c r="I666" t="str">
        <v>Australia</v>
      </c>
    </row>
    <row r="667" spans="1:9" x14ac:dyDescent="0.35">
      <c r="A667" t="str">
        <v>Laptop, Projector, Mouse, Monitor</v>
      </c>
      <c r="E667" t="str">
        <v>Consumer</v>
      </c>
      <c r="I667" t="str">
        <v>Nigeria</v>
      </c>
    </row>
    <row r="668" spans="1:9" x14ac:dyDescent="0.35">
      <c r="A668" t="str">
        <v>Mouse, Desk Chair, Keyboard</v>
      </c>
      <c r="E668" t="str">
        <v>Corporate</v>
      </c>
      <c r="I668" t="str">
        <v>Nigeria</v>
      </c>
    </row>
    <row r="669" spans="1:9" x14ac:dyDescent="0.35">
      <c r="A669" t="str">
        <v>Mouse, Projector, Laptop, Tablet, Desk Chair</v>
      </c>
      <c r="E669" t="str">
        <v>Consumer</v>
      </c>
      <c r="I669" t="str">
        <v>India</v>
      </c>
    </row>
    <row r="670" spans="1:9" x14ac:dyDescent="0.35">
      <c r="A670" t="str">
        <v>Headphones, External Hard Drive, Webcam</v>
      </c>
      <c r="E670" t="str">
        <v>Home Office</v>
      </c>
      <c r="I670" t="str">
        <v>Japan</v>
      </c>
    </row>
    <row r="671" spans="1:9" x14ac:dyDescent="0.35">
      <c r="A671" t="str">
        <v>Webcam, Tablet, Desk Lamp</v>
      </c>
      <c r="E671" t="str">
        <v>Home Office</v>
      </c>
      <c r="I671" t="str">
        <v>USA</v>
      </c>
    </row>
    <row r="672" spans="1:9" x14ac:dyDescent="0.35">
      <c r="A672" t="str">
        <v>Desk Chair, Tablet, Laptop</v>
      </c>
      <c r="E672" t="str">
        <v>Corporate</v>
      </c>
      <c r="I672" t="str">
        <v>UK</v>
      </c>
    </row>
    <row r="673" spans="1:9" x14ac:dyDescent="0.35">
      <c r="A673" t="str">
        <v>Desk Lamp, Keyboard, Tablet, Smartphone, Monitor</v>
      </c>
      <c r="E673" t="str">
        <v>Consumer</v>
      </c>
      <c r="I673" t="str">
        <v>Canada</v>
      </c>
    </row>
    <row r="674" spans="1:9" x14ac:dyDescent="0.35">
      <c r="A674" t="str">
        <v>Laptop, Desk Lamp, Smartphone, Tablet, Projector</v>
      </c>
      <c r="E674" t="str">
        <v>Consumer</v>
      </c>
      <c r="I674" t="str">
        <v>Nigeria</v>
      </c>
    </row>
    <row r="675" spans="1:9" x14ac:dyDescent="0.35">
      <c r="A675" t="str">
        <v>Smartphone, Printer, Tablet, Headphones</v>
      </c>
      <c r="E675" t="str">
        <v>Home Office</v>
      </c>
      <c r="I675" t="str">
        <v>USA</v>
      </c>
    </row>
    <row r="676" spans="1:9" x14ac:dyDescent="0.35">
      <c r="A676" t="str">
        <v>Desk Chair, Laptop, Webcam, Router</v>
      </c>
      <c r="E676" t="str">
        <v>Corporate</v>
      </c>
      <c r="I676" t="str">
        <v>USA</v>
      </c>
    </row>
    <row r="677" spans="1:9" x14ac:dyDescent="0.35">
      <c r="A677" t="str">
        <v>Headphones, Desk Chair, Speaker, Laptop, Desk Lamp</v>
      </c>
      <c r="E677" t="str">
        <v>Home Office</v>
      </c>
      <c r="I677" t="str">
        <v>Japan</v>
      </c>
    </row>
    <row r="678" spans="1:9" x14ac:dyDescent="0.35">
      <c r="A678" t="str">
        <v>Mouse, Desk Chair, Monitor, External Hard Drive</v>
      </c>
      <c r="E678" t="str">
        <v>Home Office</v>
      </c>
      <c r="I678" t="str">
        <v>USA</v>
      </c>
    </row>
    <row r="679" spans="1:9" x14ac:dyDescent="0.35">
      <c r="A679" t="str">
        <v>Router, Smartphone, Printer</v>
      </c>
      <c r="E679" t="str">
        <v>Corporate</v>
      </c>
      <c r="I679" t="str">
        <v>India</v>
      </c>
    </row>
    <row r="680" spans="1:9" x14ac:dyDescent="0.35">
      <c r="A680" t="str">
        <v>Mouse, Desk Lamp, Projector, Desk Chair, Headphones</v>
      </c>
      <c r="E680" t="str">
        <v>Corporate</v>
      </c>
      <c r="I680" t="str">
        <v>Japan</v>
      </c>
    </row>
    <row r="681" spans="1:9" x14ac:dyDescent="0.35">
      <c r="A681" t="str">
        <v>Printer, Speaker, Desk Chair</v>
      </c>
      <c r="E681" t="str">
        <v>Consumer</v>
      </c>
      <c r="I681" t="str">
        <v>Australia</v>
      </c>
    </row>
    <row r="682" spans="1:9" x14ac:dyDescent="0.35">
      <c r="A682" t="str">
        <v>Monitor, Smart Watch, Smartphone</v>
      </c>
      <c r="E682" t="str">
        <v>Home Office</v>
      </c>
      <c r="I682" t="str">
        <v>Brazil</v>
      </c>
    </row>
    <row r="683" spans="1:9" x14ac:dyDescent="0.35">
      <c r="A683" t="str">
        <v>Smartphone, Keyboard, Tablet, Headphones</v>
      </c>
      <c r="E683" t="str">
        <v>Corporate</v>
      </c>
      <c r="I683" t="str">
        <v>UK</v>
      </c>
    </row>
    <row r="684" spans="1:9" x14ac:dyDescent="0.35">
      <c r="A684" t="str">
        <v>Headphones, Smartphone, Desk Chair, Keyboard</v>
      </c>
      <c r="E684" t="str">
        <v>Home Office</v>
      </c>
      <c r="I684" t="str">
        <v>USA</v>
      </c>
    </row>
    <row r="685" spans="1:9" x14ac:dyDescent="0.35">
      <c r="A685" t="str">
        <v>Printer, Desk Lamp, Projector</v>
      </c>
      <c r="E685" t="str">
        <v>Consumer</v>
      </c>
      <c r="I685" t="str">
        <v>France</v>
      </c>
    </row>
    <row r="686" spans="1:9" x14ac:dyDescent="0.35">
      <c r="A686" t="str">
        <v>Mouse, Smartphone, Headphones</v>
      </c>
      <c r="E686" t="str">
        <v>Home Office</v>
      </c>
      <c r="I686" t="str">
        <v>USA</v>
      </c>
    </row>
    <row r="687" spans="1:9" x14ac:dyDescent="0.35">
      <c r="A687" t="str">
        <v>Desk Lamp, Projector, Smartphone</v>
      </c>
      <c r="E687" t="str">
        <v>Home Office</v>
      </c>
      <c r="I687" t="str">
        <v>Brazil</v>
      </c>
    </row>
    <row r="688" spans="1:9" x14ac:dyDescent="0.35">
      <c r="A688" t="str">
        <v>Keyboard, Tablet, Router, Mouse</v>
      </c>
      <c r="E688" t="str">
        <v>Corporate</v>
      </c>
      <c r="I688" t="str">
        <v>Germany</v>
      </c>
    </row>
    <row r="689" spans="1:9" x14ac:dyDescent="0.35">
      <c r="A689" t="str">
        <v>Monitor, Keyboard, Mouse, Router</v>
      </c>
      <c r="E689" t="str">
        <v>Consumer</v>
      </c>
      <c r="I689" t="str">
        <v>Canada</v>
      </c>
    </row>
    <row r="690" spans="1:9" x14ac:dyDescent="0.35">
      <c r="A690" t="str">
        <v>Desk Chair, Desk Lamp, Printer</v>
      </c>
      <c r="E690" t="str">
        <v>Home Office</v>
      </c>
      <c r="I690" t="str">
        <v>Japan</v>
      </c>
    </row>
    <row r="691" spans="1:9" x14ac:dyDescent="0.35">
      <c r="A691" t="str">
        <v>Monitor, Keyboard, Tablet, Projector</v>
      </c>
      <c r="E691" t="str">
        <v>Consumer</v>
      </c>
      <c r="I691" t="str">
        <v>India</v>
      </c>
    </row>
    <row r="692" spans="1:9" x14ac:dyDescent="0.35">
      <c r="A692" t="str">
        <v>Desk Lamp, Smart Watch, Smartphone, Projector</v>
      </c>
      <c r="E692" t="str">
        <v>Corporate</v>
      </c>
      <c r="I692" t="str">
        <v>France</v>
      </c>
    </row>
    <row r="693" spans="1:9" x14ac:dyDescent="0.35">
      <c r="A693" t="str">
        <v>Smart Watch, Desk Chair, Laptop, Printer, Monitor</v>
      </c>
      <c r="E693" t="str">
        <v>Corporate</v>
      </c>
      <c r="I693" t="str">
        <v>Canada</v>
      </c>
    </row>
    <row r="694" spans="1:9" x14ac:dyDescent="0.35">
      <c r="A694" t="str">
        <v>Router, Projector, Desk Lamp, Smartphone</v>
      </c>
      <c r="E694" t="str">
        <v>Home Office</v>
      </c>
      <c r="I694" t="str">
        <v>Canada</v>
      </c>
    </row>
    <row r="695" spans="1:9" x14ac:dyDescent="0.35">
      <c r="A695" t="str">
        <v>Webcam, Smartphone, Monitor</v>
      </c>
      <c r="E695" t="str">
        <v>Consumer</v>
      </c>
      <c r="I695" t="str">
        <v>UK</v>
      </c>
    </row>
    <row r="696" spans="1:9" x14ac:dyDescent="0.35">
      <c r="A696" t="str">
        <v>Desk Lamp, Router, Desk Chair, Headphones</v>
      </c>
      <c r="E696" t="str">
        <v>Home Office</v>
      </c>
      <c r="I696" t="str">
        <v>Canada</v>
      </c>
    </row>
    <row r="697" spans="1:9" x14ac:dyDescent="0.35">
      <c r="A697" t="str">
        <v>Smart Watch, Desk Chair, External Hard Drive, Webcam</v>
      </c>
      <c r="E697" t="str">
        <v>Consumer</v>
      </c>
      <c r="I697" t="str">
        <v>Australia</v>
      </c>
    </row>
    <row r="698" spans="1:9" x14ac:dyDescent="0.35">
      <c r="A698" t="str">
        <v>Desk Chair, Desk Lamp, Smartphone, Printer, Laptop</v>
      </c>
      <c r="E698" t="str">
        <v>Consumer</v>
      </c>
      <c r="I698" t="str">
        <v>UK</v>
      </c>
    </row>
    <row r="699" spans="1:9" x14ac:dyDescent="0.35">
      <c r="A699" t="str">
        <v>Monitor, Desk Chair, Smart Watch, Mouse, Tablet</v>
      </c>
      <c r="E699" t="str">
        <v>Corporate</v>
      </c>
      <c r="I699" t="str">
        <v>Brazil</v>
      </c>
    </row>
    <row r="700" spans="1:9" x14ac:dyDescent="0.35">
      <c r="A700" t="str">
        <v>Laptop, Desk Chair, Projector, Printer, Smart Watch</v>
      </c>
      <c r="E700" t="str">
        <v>Consumer</v>
      </c>
      <c r="I700" t="str">
        <v>USA</v>
      </c>
    </row>
    <row r="701" spans="1:9" x14ac:dyDescent="0.35">
      <c r="A701" t="str">
        <v>Smartphone, Monitor, Projector, Headphones, Desk Chair</v>
      </c>
      <c r="E701" t="str">
        <v>Home Office</v>
      </c>
      <c r="I701" t="str">
        <v>India</v>
      </c>
    </row>
    <row r="702" spans="1:9" x14ac:dyDescent="0.35">
      <c r="A702" t="str">
        <v>Tablet, Monitor, Desk Lamp</v>
      </c>
      <c r="E702" t="str">
        <v>Consumer</v>
      </c>
      <c r="I702" t="str">
        <v>Nigeria</v>
      </c>
    </row>
    <row r="703" spans="1:9" x14ac:dyDescent="0.35">
      <c r="A703" t="str">
        <v>Headphones, Smartphone, Desk Chair</v>
      </c>
      <c r="E703" t="str">
        <v>Consumer</v>
      </c>
      <c r="I703" t="str">
        <v>India</v>
      </c>
    </row>
    <row r="704" spans="1:9" x14ac:dyDescent="0.35">
      <c r="A704" t="str">
        <v>Tablet, Monitor, Router, Desk Lamp</v>
      </c>
      <c r="E704" t="str">
        <v>Home Office</v>
      </c>
      <c r="I704" t="str">
        <v>Brazil</v>
      </c>
    </row>
    <row r="705" spans="1:9" x14ac:dyDescent="0.35">
      <c r="A705" t="str">
        <v>Printer, Webcam, Headphones, Projector</v>
      </c>
      <c r="E705" t="str">
        <v>Corporate</v>
      </c>
      <c r="I705" t="str">
        <v>USA</v>
      </c>
    </row>
    <row r="706" spans="1:9" x14ac:dyDescent="0.35">
      <c r="A706" t="str">
        <v>Headphones, Projector, Tablet, External Hard Drive</v>
      </c>
      <c r="E706" t="str">
        <v>Corporate</v>
      </c>
      <c r="I706" t="str">
        <v>India</v>
      </c>
    </row>
    <row r="707" spans="1:9" x14ac:dyDescent="0.35">
      <c r="A707" t="str">
        <v>Keyboard, Tablet, Printer, Smartphone</v>
      </c>
      <c r="E707" t="str">
        <v>Corporate</v>
      </c>
      <c r="I707" t="str">
        <v>UK</v>
      </c>
    </row>
    <row r="708" spans="1:9" x14ac:dyDescent="0.35">
      <c r="A708" t="str">
        <v>Smart Watch, Headphones, Router, Speaker, Printer</v>
      </c>
      <c r="E708" t="str">
        <v>Corporate</v>
      </c>
      <c r="I708" t="str">
        <v>USA</v>
      </c>
    </row>
    <row r="709" spans="1:9" x14ac:dyDescent="0.35">
      <c r="A709" t="str">
        <v>Keyboard, Desk Lamp, Laptop</v>
      </c>
      <c r="E709" t="str">
        <v>Consumer</v>
      </c>
      <c r="I709" t="str">
        <v>UK</v>
      </c>
    </row>
    <row r="710" spans="1:9" x14ac:dyDescent="0.35">
      <c r="A710" t="str">
        <v>Speaker, Smart Watch, Laptop, Desk Chair, Mouse</v>
      </c>
      <c r="E710" t="str">
        <v>Home Office</v>
      </c>
      <c r="I710" t="str">
        <v>USA</v>
      </c>
    </row>
    <row r="711" spans="1:9" x14ac:dyDescent="0.35">
      <c r="A711" t="str">
        <v>Tablet, Smartphone, Router, Keyboard</v>
      </c>
      <c r="E711" t="str">
        <v>Consumer</v>
      </c>
      <c r="I711" t="str">
        <v>Japan</v>
      </c>
    </row>
    <row r="712" spans="1:9" x14ac:dyDescent="0.35">
      <c r="A712" t="str">
        <v>Projector, Keyboard, Router</v>
      </c>
      <c r="E712" t="str">
        <v>Corporate</v>
      </c>
      <c r="I712" t="str">
        <v>Germany</v>
      </c>
    </row>
    <row r="713" spans="1:9" x14ac:dyDescent="0.35">
      <c r="A713" t="str">
        <v>Keyboard, Headphones, Smart Watch</v>
      </c>
      <c r="E713" t="str">
        <v>Corporate</v>
      </c>
      <c r="I713" t="str">
        <v>Brazil</v>
      </c>
    </row>
    <row r="714" spans="1:9" x14ac:dyDescent="0.35">
      <c r="A714" t="str">
        <v>Monitor, Webcam, Mouse, Desk Lamp, Desk Chair</v>
      </c>
      <c r="E714" t="str">
        <v>Corporate</v>
      </c>
      <c r="I714" t="str">
        <v>Nigeria</v>
      </c>
    </row>
    <row r="715" spans="1:9" x14ac:dyDescent="0.35">
      <c r="A715" t="str">
        <v>External Hard Drive, Tablet, Smartphone, Laptop</v>
      </c>
      <c r="E715" t="str">
        <v>Home Office</v>
      </c>
      <c r="I715" t="str">
        <v>Brazil</v>
      </c>
    </row>
    <row r="716" spans="1:9" x14ac:dyDescent="0.35">
      <c r="A716" t="str">
        <v>Headphones, External Hard Drive, Desk Chair</v>
      </c>
      <c r="E716" t="str">
        <v>Home Office</v>
      </c>
      <c r="I716" t="str">
        <v>Australia</v>
      </c>
    </row>
    <row r="717" spans="1:9" x14ac:dyDescent="0.35">
      <c r="A717" t="str">
        <v>Monitor, Headphones, Desk Lamp, Printer</v>
      </c>
      <c r="E717" t="str">
        <v>Corporate</v>
      </c>
      <c r="I717" t="str">
        <v>Japan</v>
      </c>
    </row>
    <row r="718" spans="1:9" x14ac:dyDescent="0.35">
      <c r="A718" t="str">
        <v>Speaker, Desk Lamp, Mouse, Headphones, Router</v>
      </c>
      <c r="E718" t="str">
        <v>Home Office</v>
      </c>
      <c r="I718" t="str">
        <v>Australia</v>
      </c>
    </row>
    <row r="719" spans="1:9" x14ac:dyDescent="0.35">
      <c r="A719" t="str">
        <v>Headphones, Keyboard, Webcam, Mouse</v>
      </c>
      <c r="E719" t="str">
        <v>Corporate</v>
      </c>
      <c r="I719" t="str">
        <v>Australia</v>
      </c>
    </row>
    <row r="720" spans="1:9" x14ac:dyDescent="0.35">
      <c r="A720" t="str">
        <v>Keyboard, External Hard Drive, Laptop</v>
      </c>
      <c r="E720" t="str">
        <v>Home Office</v>
      </c>
      <c r="I720" t="str">
        <v>Brazil</v>
      </c>
    </row>
    <row r="721" spans="1:9" x14ac:dyDescent="0.35">
      <c r="A721" t="str">
        <v>Webcam, Desk Chair, Speaker, Desk Lamp, Keyboard</v>
      </c>
      <c r="E721" t="str">
        <v>Corporate</v>
      </c>
      <c r="I721" t="str">
        <v>India</v>
      </c>
    </row>
    <row r="722" spans="1:9" x14ac:dyDescent="0.35">
      <c r="A722" t="str">
        <v>Smartphone, Printer, Projector, Monitor, External Hard Drive</v>
      </c>
      <c r="E722" t="str">
        <v>Home Office</v>
      </c>
      <c r="I722" t="str">
        <v>France</v>
      </c>
    </row>
    <row r="723" spans="1:9" x14ac:dyDescent="0.35">
      <c r="A723" t="str">
        <v>Desk Lamp, Smartphone, Headphones</v>
      </c>
      <c r="E723" t="str">
        <v>Corporate</v>
      </c>
      <c r="I723" t="str">
        <v>France</v>
      </c>
    </row>
    <row r="724" spans="1:9" x14ac:dyDescent="0.35">
      <c r="A724" t="str">
        <v>Tablet, Printer, Headphones, Desk Lamp</v>
      </c>
      <c r="E724" t="str">
        <v>Consumer</v>
      </c>
      <c r="I724" t="str">
        <v>Australia</v>
      </c>
    </row>
    <row r="725" spans="1:9" x14ac:dyDescent="0.35">
      <c r="A725" t="str">
        <v>External Hard Drive, Monitor, Printer</v>
      </c>
      <c r="E725" t="str">
        <v>Corporate</v>
      </c>
      <c r="I725" t="str">
        <v>Australia</v>
      </c>
    </row>
    <row r="726" spans="1:9" x14ac:dyDescent="0.35">
      <c r="A726" t="str">
        <v>Mouse, External Hard Drive, Speaker, Laptop</v>
      </c>
      <c r="E726" t="str">
        <v>Consumer</v>
      </c>
      <c r="I726" t="str">
        <v>Canada</v>
      </c>
    </row>
    <row r="727" spans="1:9" x14ac:dyDescent="0.35">
      <c r="A727" t="str">
        <v>Laptop, Headphones, Projector</v>
      </c>
      <c r="E727" t="str">
        <v>Consumer</v>
      </c>
      <c r="I727" t="str">
        <v>Nigeria</v>
      </c>
    </row>
    <row r="728" spans="1:9" x14ac:dyDescent="0.35">
      <c r="A728" t="str">
        <v>Tablet, Printer, Router, Smartphone, Laptop</v>
      </c>
      <c r="E728" t="str">
        <v>Corporate</v>
      </c>
      <c r="I728" t="str">
        <v>Germany</v>
      </c>
    </row>
    <row r="729" spans="1:9" x14ac:dyDescent="0.35">
      <c r="A729" t="str">
        <v>Printer, External Hard Drive, Tablet</v>
      </c>
      <c r="E729" t="str">
        <v>Home Office</v>
      </c>
      <c r="I729" t="str">
        <v>India</v>
      </c>
    </row>
    <row r="730" spans="1:9" x14ac:dyDescent="0.35">
      <c r="A730" t="str">
        <v>Laptop, Webcam, Router, Smart Watch</v>
      </c>
      <c r="E730" t="str">
        <v>Home Office</v>
      </c>
      <c r="I730" t="str">
        <v>Nigeria</v>
      </c>
    </row>
    <row r="731" spans="1:9" x14ac:dyDescent="0.35">
      <c r="A731" t="str">
        <v>Headphones, Keyboard, Desk Chair, Projector</v>
      </c>
      <c r="E731" t="str">
        <v>Home Office</v>
      </c>
      <c r="I731" t="str">
        <v>Japan</v>
      </c>
    </row>
    <row r="732" spans="1:9" x14ac:dyDescent="0.35">
      <c r="A732" t="str">
        <v>Mouse, Projector, Keyboard, Smart Watch</v>
      </c>
      <c r="E732" t="str">
        <v>Home Office</v>
      </c>
      <c r="I732" t="str">
        <v>Nigeria</v>
      </c>
    </row>
    <row r="733" spans="1:9" x14ac:dyDescent="0.35">
      <c r="A733" t="str">
        <v>Router, Keyboard, Printer</v>
      </c>
      <c r="E733" t="str">
        <v>Corporate</v>
      </c>
      <c r="I733" t="str">
        <v>UK</v>
      </c>
    </row>
    <row r="734" spans="1:9" x14ac:dyDescent="0.35">
      <c r="A734" t="str">
        <v>Desk Lamp, Speaker, External Hard Drive</v>
      </c>
      <c r="E734" t="str">
        <v>Consumer</v>
      </c>
      <c r="I734" t="str">
        <v>UK</v>
      </c>
    </row>
    <row r="735" spans="1:9" x14ac:dyDescent="0.35">
      <c r="A735" t="str">
        <v>Router, Desk Chair, Projector, External Hard Drive, Printer</v>
      </c>
      <c r="E735" t="str">
        <v>Consumer</v>
      </c>
      <c r="I735" t="str">
        <v>UK</v>
      </c>
    </row>
    <row r="736" spans="1:9" x14ac:dyDescent="0.35">
      <c r="A736" t="str">
        <v>Headphones, Smart Watch, Monitor</v>
      </c>
      <c r="E736" t="str">
        <v>Home Office</v>
      </c>
      <c r="I736" t="str">
        <v>France</v>
      </c>
    </row>
    <row r="737" spans="1:9" x14ac:dyDescent="0.35">
      <c r="A737" t="str">
        <v>Keyboard, Desk Lamp, Printer, Projector, External Hard Drive</v>
      </c>
      <c r="E737" t="str">
        <v>Corporate</v>
      </c>
      <c r="I737" t="str">
        <v>UK</v>
      </c>
    </row>
    <row r="738" spans="1:9" x14ac:dyDescent="0.35">
      <c r="A738" t="str">
        <v>Smartphone, Projector, Laptop</v>
      </c>
      <c r="E738" t="str">
        <v>Corporate</v>
      </c>
      <c r="I738" t="str">
        <v>Nigeria</v>
      </c>
    </row>
    <row r="739" spans="1:9" x14ac:dyDescent="0.35">
      <c r="A739" t="str">
        <v>Mouse, Tablet, Speaker</v>
      </c>
      <c r="E739" t="str">
        <v>Home Office</v>
      </c>
      <c r="I739" t="str">
        <v>Australia</v>
      </c>
    </row>
    <row r="740" spans="1:9" x14ac:dyDescent="0.35">
      <c r="A740" t="str">
        <v>Projector, Mouse, Smartphone, Webcam, Keyboard</v>
      </c>
      <c r="E740" t="str">
        <v>Home Office</v>
      </c>
      <c r="I740" t="str">
        <v>Nigeria</v>
      </c>
    </row>
    <row r="741" spans="1:9" x14ac:dyDescent="0.35">
      <c r="A741" t="str">
        <v>Monitor, Desk Lamp, Mouse, Desk Chair, Printer</v>
      </c>
      <c r="E741" t="str">
        <v>Corporate</v>
      </c>
      <c r="I741" t="str">
        <v>Canada</v>
      </c>
    </row>
    <row r="742" spans="1:9" x14ac:dyDescent="0.35">
      <c r="A742" t="str">
        <v>Desk Chair, Monitor, Mouse, Smart Watch</v>
      </c>
      <c r="E742" t="str">
        <v>Corporate</v>
      </c>
      <c r="I742" t="str">
        <v>USA</v>
      </c>
    </row>
    <row r="743" spans="1:9" x14ac:dyDescent="0.35">
      <c r="A743" t="str">
        <v>Laptop, Speaker, Keyboard</v>
      </c>
      <c r="E743" t="str">
        <v>Home Office</v>
      </c>
      <c r="I743" t="str">
        <v>Nigeria</v>
      </c>
    </row>
    <row r="744" spans="1:9" x14ac:dyDescent="0.35">
      <c r="A744" t="str">
        <v>Monitor, Tablet, Desk Lamp</v>
      </c>
      <c r="E744" t="str">
        <v>Home Office</v>
      </c>
      <c r="I744" t="str">
        <v>Japan</v>
      </c>
    </row>
    <row r="745" spans="1:9" x14ac:dyDescent="0.35">
      <c r="A745" t="str">
        <v>Mouse, Monitor, Projector, Speaker</v>
      </c>
      <c r="E745" t="str">
        <v>Corporate</v>
      </c>
      <c r="I745" t="str">
        <v>Nigeria</v>
      </c>
    </row>
    <row r="746" spans="1:9" x14ac:dyDescent="0.35">
      <c r="A746" t="str">
        <v>Laptop, Router, External Hard Drive, Projector, Webcam</v>
      </c>
      <c r="E746" t="str">
        <v>Corporate</v>
      </c>
      <c r="I746" t="str">
        <v>USA</v>
      </c>
    </row>
    <row r="747" spans="1:9" x14ac:dyDescent="0.35">
      <c r="A747" t="str">
        <v>Smartphone, Laptop, Mouse, Router, Headphones</v>
      </c>
      <c r="E747" t="str">
        <v>Home Office</v>
      </c>
      <c r="I747" t="str">
        <v>Nigeria</v>
      </c>
    </row>
    <row r="748" spans="1:9" x14ac:dyDescent="0.35">
      <c r="A748" t="str">
        <v>Projector, Smartphone, Printer</v>
      </c>
      <c r="E748" t="str">
        <v>Home Office</v>
      </c>
      <c r="I748" t="str">
        <v>Japan</v>
      </c>
    </row>
    <row r="749" spans="1:9" x14ac:dyDescent="0.35">
      <c r="A749" t="str">
        <v>Keyboard, Printer, Projector, Smartphone, Tablet</v>
      </c>
      <c r="E749" t="str">
        <v>Corporate</v>
      </c>
      <c r="I749" t="str">
        <v>Brazil</v>
      </c>
    </row>
    <row r="750" spans="1:9" x14ac:dyDescent="0.35">
      <c r="A750" t="str">
        <v>Desk Chair, Projector, Speaker, Monitor, Headphones</v>
      </c>
      <c r="E750" t="str">
        <v>Consumer</v>
      </c>
      <c r="I750" t="str">
        <v>Brazil</v>
      </c>
    </row>
    <row r="751" spans="1:9" x14ac:dyDescent="0.35">
      <c r="A751" t="str">
        <v>Tablet, Laptop, Printer, Speaker</v>
      </c>
      <c r="E751" t="str">
        <v>Home Office</v>
      </c>
      <c r="I751" t="str">
        <v>USA</v>
      </c>
    </row>
    <row r="752" spans="1:9" x14ac:dyDescent="0.35">
      <c r="A752" t="str">
        <v>Speaker, Webcam, Desk Lamp, Router, Desk Chair</v>
      </c>
      <c r="E752" t="str">
        <v>Consumer</v>
      </c>
      <c r="I752" t="str">
        <v>Nigeria</v>
      </c>
    </row>
    <row r="753" spans="1:9" x14ac:dyDescent="0.35">
      <c r="A753" t="str">
        <v>Smart Watch, Desk Lamp, Speaker</v>
      </c>
      <c r="E753" t="str">
        <v>Consumer</v>
      </c>
      <c r="I753" t="str">
        <v>Canada</v>
      </c>
    </row>
    <row r="754" spans="1:9" x14ac:dyDescent="0.35">
      <c r="A754" t="str">
        <v>Smartphone, Printer, Desk Chair, Monitor</v>
      </c>
      <c r="E754" t="str">
        <v>Corporate</v>
      </c>
      <c r="I754" t="str">
        <v>Australia</v>
      </c>
    </row>
    <row r="755" spans="1:9" x14ac:dyDescent="0.35">
      <c r="A755" t="str">
        <v>Tablet, Router, Printer</v>
      </c>
      <c r="E755" t="str">
        <v>Consumer</v>
      </c>
      <c r="I755" t="str">
        <v>USA</v>
      </c>
    </row>
    <row r="756" spans="1:9" x14ac:dyDescent="0.35">
      <c r="A756" t="str">
        <v>Keyboard, Webcam, Projector, Printer</v>
      </c>
      <c r="E756" t="str">
        <v>Corporate</v>
      </c>
      <c r="I756" t="str">
        <v>Nigeria</v>
      </c>
    </row>
    <row r="757" spans="1:9" x14ac:dyDescent="0.35">
      <c r="A757" t="str">
        <v>Keyboard, Projector, Webcam, Smartphone</v>
      </c>
      <c r="E757" t="str">
        <v>Home Office</v>
      </c>
      <c r="I757" t="str">
        <v>USA</v>
      </c>
    </row>
    <row r="758" spans="1:9" x14ac:dyDescent="0.35">
      <c r="A758" t="str">
        <v>External Hard Drive, Smart Watch, Smartphone, Tablet, Speaker</v>
      </c>
      <c r="E758" t="str">
        <v>Home Office</v>
      </c>
      <c r="I758" t="str">
        <v>Nigeria</v>
      </c>
    </row>
    <row r="759" spans="1:9" x14ac:dyDescent="0.35">
      <c r="A759" t="str">
        <v>Desk Lamp, Webcam, Projector</v>
      </c>
      <c r="E759" t="str">
        <v>Corporate</v>
      </c>
      <c r="I759" t="str">
        <v>France</v>
      </c>
    </row>
    <row r="760" spans="1:9" x14ac:dyDescent="0.35">
      <c r="A760" t="str">
        <v>Monitor, Laptop, Webcam, Smartphone, Keyboard</v>
      </c>
      <c r="E760" t="str">
        <v>Consumer</v>
      </c>
      <c r="I760" t="str">
        <v>UK</v>
      </c>
    </row>
    <row r="761" spans="1:9" x14ac:dyDescent="0.35">
      <c r="A761" t="str">
        <v>External Hard Drive, Printer, Desk Chair, Projector, Desk Lamp</v>
      </c>
      <c r="E761" t="str">
        <v>Corporate</v>
      </c>
      <c r="I761" t="str">
        <v>France</v>
      </c>
    </row>
    <row r="762" spans="1:9" x14ac:dyDescent="0.35">
      <c r="A762" t="str">
        <v>Printer, Smart Watch, Projector, Laptop</v>
      </c>
      <c r="E762" t="str">
        <v>Home Office</v>
      </c>
      <c r="I762" t="str">
        <v>Germany</v>
      </c>
    </row>
    <row r="763" spans="1:9" x14ac:dyDescent="0.35">
      <c r="A763" t="str">
        <v>Router, Keyboard, Desk Chair</v>
      </c>
      <c r="E763" t="str">
        <v>Corporate</v>
      </c>
      <c r="I763" t="str">
        <v>Brazil</v>
      </c>
    </row>
    <row r="764" spans="1:9" x14ac:dyDescent="0.35">
      <c r="A764" t="str">
        <v>External Hard Drive, Router, Desk Chair, Smartphone, Keyboard</v>
      </c>
      <c r="E764" t="str">
        <v>Corporate</v>
      </c>
      <c r="I764" t="str">
        <v>India</v>
      </c>
    </row>
    <row r="765" spans="1:9" x14ac:dyDescent="0.35">
      <c r="A765" t="str">
        <v>Mouse, Monitor, Laptop, Tablet</v>
      </c>
      <c r="E765" t="str">
        <v>Consumer</v>
      </c>
      <c r="I765" t="str">
        <v>Japan</v>
      </c>
    </row>
    <row r="766" spans="1:9" x14ac:dyDescent="0.35">
      <c r="A766" t="str">
        <v>Speaker, Mouse, Smartphone</v>
      </c>
      <c r="E766" t="str">
        <v>Home Office</v>
      </c>
      <c r="I766" t="str">
        <v>Germany</v>
      </c>
    </row>
    <row r="767" spans="1:9" x14ac:dyDescent="0.35">
      <c r="A767" t="str">
        <v>External Hard Drive, Desk Lamp, Speaker</v>
      </c>
      <c r="E767" t="str">
        <v>Home Office</v>
      </c>
      <c r="I767" t="str">
        <v>India</v>
      </c>
    </row>
    <row r="768" spans="1:9" x14ac:dyDescent="0.35">
      <c r="A768" t="str">
        <v>Projector, External Hard Drive, Printer, Mouse</v>
      </c>
      <c r="E768" t="str">
        <v>Consumer</v>
      </c>
      <c r="I768" t="str">
        <v>USA</v>
      </c>
    </row>
    <row r="769" spans="1:9" x14ac:dyDescent="0.35">
      <c r="A769" t="str">
        <v>Desk Lamp, Webcam, Router, Headphones</v>
      </c>
      <c r="E769" t="str">
        <v>Home Office</v>
      </c>
      <c r="I769" t="str">
        <v>USA</v>
      </c>
    </row>
    <row r="770" spans="1:9" x14ac:dyDescent="0.35">
      <c r="A770" t="str">
        <v>Monitor, Projector, Router, Smart Watch</v>
      </c>
      <c r="E770" t="str">
        <v>Consumer</v>
      </c>
      <c r="I770" t="str">
        <v>Canada</v>
      </c>
    </row>
    <row r="771" spans="1:9" x14ac:dyDescent="0.35">
      <c r="A771" t="str">
        <v>Headphones, Tablet, Keyboard</v>
      </c>
      <c r="E771" t="str">
        <v>Corporate</v>
      </c>
      <c r="I771" t="str">
        <v>France</v>
      </c>
    </row>
    <row r="772" spans="1:9" x14ac:dyDescent="0.35">
      <c r="A772" t="str">
        <v>Desk Lamp, Desk Chair, Tablet, Keyboard</v>
      </c>
      <c r="E772" t="str">
        <v>Home Office</v>
      </c>
      <c r="I772" t="str">
        <v>Australia</v>
      </c>
    </row>
    <row r="773" spans="1:9" x14ac:dyDescent="0.35">
      <c r="A773" t="str">
        <v>Laptop, Headphones, Mouse, Monitor</v>
      </c>
      <c r="E773" t="str">
        <v>Home Office</v>
      </c>
      <c r="I773" t="str">
        <v>Germany</v>
      </c>
    </row>
    <row r="774" spans="1:9" x14ac:dyDescent="0.35">
      <c r="A774" t="str">
        <v>Printer, External Hard Drive, Headphones, Desk Chair, Keyboard</v>
      </c>
      <c r="E774" t="str">
        <v>Consumer</v>
      </c>
      <c r="I774" t="str">
        <v>UK</v>
      </c>
    </row>
    <row r="775" spans="1:9" x14ac:dyDescent="0.35">
      <c r="A775" t="str">
        <v>Speaker, Tablet, Smart Watch, Monitor</v>
      </c>
      <c r="E775" t="str">
        <v>Consumer</v>
      </c>
      <c r="I775" t="str">
        <v>Nigeria</v>
      </c>
    </row>
    <row r="776" spans="1:9" x14ac:dyDescent="0.35">
      <c r="A776" t="str">
        <v>Keyboard, Speaker, Headphones</v>
      </c>
      <c r="E776" t="str">
        <v>Corporate</v>
      </c>
      <c r="I776" t="str">
        <v>Australia</v>
      </c>
    </row>
    <row r="777" spans="1:9" x14ac:dyDescent="0.35">
      <c r="A777" t="str">
        <v>Smart Watch, Tablet, Desk Chair, External Hard Drive</v>
      </c>
      <c r="E777" t="str">
        <v>Home Office</v>
      </c>
      <c r="I777" t="str">
        <v>Brazil</v>
      </c>
    </row>
    <row r="778" spans="1:9" x14ac:dyDescent="0.35">
      <c r="A778" t="str">
        <v>Smartphone, Keyboard, External Hard Drive, Laptop, Speaker</v>
      </c>
      <c r="E778" t="str">
        <v>Home Office</v>
      </c>
      <c r="I778" t="str">
        <v>UK</v>
      </c>
    </row>
    <row r="779" spans="1:9" x14ac:dyDescent="0.35">
      <c r="A779" t="str">
        <v>Smart Watch, Laptop, Webcam, Desk Lamp, Desk Chair</v>
      </c>
      <c r="E779" t="str">
        <v>Consumer</v>
      </c>
      <c r="I779" t="str">
        <v>Nigeria</v>
      </c>
    </row>
    <row r="780" spans="1:9" x14ac:dyDescent="0.35">
      <c r="A780" t="str">
        <v>Desk Chair, Tablet, Mouse</v>
      </c>
      <c r="E780" t="str">
        <v>Consumer</v>
      </c>
      <c r="I780" t="str">
        <v>France</v>
      </c>
    </row>
    <row r="781" spans="1:9" x14ac:dyDescent="0.35">
      <c r="A781" t="str">
        <v>Headphones, Mouse, Tablet, Router, Desk Chair</v>
      </c>
      <c r="E781" t="str">
        <v>Corporate</v>
      </c>
      <c r="I781" t="str">
        <v>Canada</v>
      </c>
    </row>
    <row r="782" spans="1:9" x14ac:dyDescent="0.35">
      <c r="A782" t="str">
        <v>Projector, Printer, Webcam, Tablet, Desk Lamp</v>
      </c>
      <c r="E782" t="str">
        <v>Home Office</v>
      </c>
      <c r="I782" t="str">
        <v>USA</v>
      </c>
    </row>
    <row r="783" spans="1:9" x14ac:dyDescent="0.35">
      <c r="A783" t="str">
        <v>Mouse, Router, Headphones</v>
      </c>
      <c r="E783" t="str">
        <v>Corporate</v>
      </c>
      <c r="I783" t="str">
        <v>USA</v>
      </c>
    </row>
    <row r="784" spans="1:9" x14ac:dyDescent="0.35">
      <c r="A784" t="str">
        <v>Desk Chair, Router, Desk Lamp, External Hard Drive</v>
      </c>
      <c r="E784" t="str">
        <v>Home Office</v>
      </c>
      <c r="I784" t="str">
        <v>UK</v>
      </c>
    </row>
    <row r="785" spans="1:9" x14ac:dyDescent="0.35">
      <c r="A785" t="str">
        <v>Keyboard, Webcam, Speaker, Smart Watch, Laptop</v>
      </c>
      <c r="E785" t="str">
        <v>Corporate</v>
      </c>
      <c r="I785" t="str">
        <v>UK</v>
      </c>
    </row>
    <row r="786" spans="1:9" x14ac:dyDescent="0.35">
      <c r="A786" t="str">
        <v>Webcam, Projector, Mouse, Desk Lamp</v>
      </c>
      <c r="E786" t="str">
        <v>Home Office</v>
      </c>
      <c r="I786" t="str">
        <v>France</v>
      </c>
    </row>
    <row r="787" spans="1:9" x14ac:dyDescent="0.35">
      <c r="A787" t="str">
        <v>Router, Smart Watch, Desk Lamp, Speaker</v>
      </c>
      <c r="E787" t="str">
        <v>Corporate</v>
      </c>
      <c r="I787" t="str">
        <v>Brazil</v>
      </c>
    </row>
    <row r="788" spans="1:9" x14ac:dyDescent="0.35">
      <c r="A788" t="str">
        <v>Printer, Smart Watch, Router, External Hard Drive</v>
      </c>
      <c r="E788" t="str">
        <v>Consumer</v>
      </c>
      <c r="I788" t="str">
        <v>France</v>
      </c>
    </row>
    <row r="789" spans="1:9" x14ac:dyDescent="0.35">
      <c r="A789" t="str">
        <v>Desk Chair, Laptop, Printer</v>
      </c>
      <c r="E789" t="str">
        <v>Home Office</v>
      </c>
      <c r="I789" t="str">
        <v>USA</v>
      </c>
    </row>
    <row r="790" spans="1:9" x14ac:dyDescent="0.35">
      <c r="A790" t="str">
        <v>Mouse, Webcam, Router, Tablet</v>
      </c>
      <c r="E790" t="str">
        <v>Corporate</v>
      </c>
      <c r="I790" t="str">
        <v>USA</v>
      </c>
    </row>
    <row r="791" spans="1:9" x14ac:dyDescent="0.35">
      <c r="A791" t="str">
        <v>External Hard Drive, Tablet, Speaker, Keyboard, Smartphone</v>
      </c>
      <c r="E791" t="str">
        <v>Home Office</v>
      </c>
      <c r="I791" t="str">
        <v>France</v>
      </c>
    </row>
    <row r="792" spans="1:9" x14ac:dyDescent="0.35">
      <c r="A792" t="str">
        <v>Speaker, Headphones, Desk Chair, Tablet</v>
      </c>
      <c r="E792" t="str">
        <v>Corporate</v>
      </c>
      <c r="I792" t="str">
        <v>Australia</v>
      </c>
    </row>
    <row r="793" spans="1:9" x14ac:dyDescent="0.35">
      <c r="A793" t="str">
        <v>Laptop, Tablet, Mouse</v>
      </c>
      <c r="E793" t="str">
        <v>Corporate</v>
      </c>
      <c r="I793" t="str">
        <v>Japan</v>
      </c>
    </row>
    <row r="794" spans="1:9" x14ac:dyDescent="0.35">
      <c r="A794" t="str">
        <v>Webcam, Smartphone, Desk Chair, Mouse, Monitor</v>
      </c>
      <c r="E794" t="str">
        <v>Home Office</v>
      </c>
      <c r="I794" t="str">
        <v>France</v>
      </c>
    </row>
    <row r="795" spans="1:9" x14ac:dyDescent="0.35">
      <c r="A795" t="str">
        <v>Desk Lamp, Webcam, Mouse, Smart Watch</v>
      </c>
      <c r="E795" t="str">
        <v>Home Office</v>
      </c>
      <c r="I795" t="str">
        <v>Canada</v>
      </c>
    </row>
    <row r="796" spans="1:9" x14ac:dyDescent="0.35">
      <c r="A796" t="str">
        <v>Speaker, External Hard Drive, Smartphone</v>
      </c>
      <c r="E796" t="str">
        <v>Corporate</v>
      </c>
      <c r="I796" t="str">
        <v>Canada</v>
      </c>
    </row>
    <row r="797" spans="1:9" x14ac:dyDescent="0.35">
      <c r="A797" t="str">
        <v>Desk Lamp, Printer, Speaker, Monitor, Router</v>
      </c>
      <c r="E797" t="str">
        <v>Corporate</v>
      </c>
      <c r="I797" t="str">
        <v>France</v>
      </c>
    </row>
    <row r="798" spans="1:9" x14ac:dyDescent="0.35">
      <c r="A798" t="str">
        <v>Smartphone, Desk Lamp, Laptop, Speaker</v>
      </c>
      <c r="E798" t="str">
        <v>Consumer</v>
      </c>
      <c r="I798" t="str">
        <v>Canada</v>
      </c>
    </row>
    <row r="799" spans="1:9" x14ac:dyDescent="0.35">
      <c r="A799" t="str">
        <v>Desk Lamp, Router, External Hard Drive</v>
      </c>
      <c r="E799" t="str">
        <v>Corporate</v>
      </c>
      <c r="I799" t="str">
        <v>Japan</v>
      </c>
    </row>
    <row r="800" spans="1:9" x14ac:dyDescent="0.35">
      <c r="A800" t="str">
        <v>Laptop, Mouse, Desk Chair</v>
      </c>
      <c r="E800" t="str">
        <v>Consumer</v>
      </c>
      <c r="I800" t="str">
        <v>Japan</v>
      </c>
    </row>
    <row r="801" spans="1:9" x14ac:dyDescent="0.35">
      <c r="A801" t="str">
        <v>External Hard Drive, Headphones, Speaker, Printer, Keyboard</v>
      </c>
      <c r="E801" t="str">
        <v>Home Office</v>
      </c>
      <c r="I801" t="str">
        <v>Brazil</v>
      </c>
    </row>
    <row r="802" spans="1:9" x14ac:dyDescent="0.35">
      <c r="A802" t="str">
        <v>Router, Desk Chair, Smartphone, Laptop</v>
      </c>
      <c r="E802" t="str">
        <v>Home Office</v>
      </c>
      <c r="I802" t="str">
        <v>Germany</v>
      </c>
    </row>
    <row r="803" spans="1:9" x14ac:dyDescent="0.35">
      <c r="A803" t="str">
        <v>Desk Lamp, Smart Watch, Projector</v>
      </c>
      <c r="E803" t="str">
        <v>Consumer</v>
      </c>
      <c r="I803" t="str">
        <v>Brazil</v>
      </c>
    </row>
    <row r="804" spans="1:9" x14ac:dyDescent="0.35">
      <c r="A804" t="str">
        <v>Smart Watch, Speaker, External Hard Drive</v>
      </c>
      <c r="E804" t="str">
        <v>Consumer</v>
      </c>
      <c r="I804" t="str">
        <v>Germany</v>
      </c>
    </row>
    <row r="805" spans="1:9" x14ac:dyDescent="0.35">
      <c r="A805" t="str">
        <v>Mouse, Desk Chair, Headphones, Speaker</v>
      </c>
      <c r="E805" t="str">
        <v>Corporate</v>
      </c>
      <c r="I805" t="str">
        <v>India</v>
      </c>
    </row>
    <row r="806" spans="1:9" x14ac:dyDescent="0.35">
      <c r="A806" t="str">
        <v>Monitor, Mouse, Laptop, Desk Chair, Speaker</v>
      </c>
      <c r="E806" t="str">
        <v>Corporate</v>
      </c>
      <c r="I806" t="str">
        <v>Japan</v>
      </c>
    </row>
    <row r="807" spans="1:9" x14ac:dyDescent="0.35">
      <c r="A807" t="str">
        <v>Headphones, External Hard Drive, Desk Chair, Keyboard, Monitor</v>
      </c>
      <c r="E807" t="str">
        <v>Home Office</v>
      </c>
      <c r="I807" t="str">
        <v>India</v>
      </c>
    </row>
    <row r="808" spans="1:9" x14ac:dyDescent="0.35">
      <c r="A808" t="str">
        <v>Smartphone, Desk Lamp, Keyboard, Mouse, Printer</v>
      </c>
      <c r="E808" t="str">
        <v>Home Office</v>
      </c>
      <c r="I808" t="str">
        <v>Japan</v>
      </c>
    </row>
    <row r="809" spans="1:9" x14ac:dyDescent="0.35">
      <c r="A809" t="str">
        <v>Mouse, Monitor, External Hard Drive</v>
      </c>
      <c r="E809" t="str">
        <v>Corporate</v>
      </c>
      <c r="I809" t="str">
        <v>USA</v>
      </c>
    </row>
    <row r="810" spans="1:9" x14ac:dyDescent="0.35">
      <c r="A810" t="str">
        <v>Headphones, Printer, Smartphone, Monitor</v>
      </c>
      <c r="E810" t="str">
        <v>Consumer</v>
      </c>
      <c r="I810" t="str">
        <v>India</v>
      </c>
    </row>
    <row r="811" spans="1:9" x14ac:dyDescent="0.35">
      <c r="A811" t="str">
        <v>Desk Lamp, Headphones, Monitor, Desk Chair, Projector</v>
      </c>
      <c r="E811" t="str">
        <v>Home Office</v>
      </c>
      <c r="I811" t="str">
        <v>Australia</v>
      </c>
    </row>
    <row r="812" spans="1:9" x14ac:dyDescent="0.35">
      <c r="A812" t="str">
        <v>Mouse, Headphones, Monitor, External Hard Drive, Smart Watch</v>
      </c>
      <c r="E812" t="str">
        <v>Corporate</v>
      </c>
      <c r="I812" t="str">
        <v>Canada</v>
      </c>
    </row>
    <row r="813" spans="1:9" x14ac:dyDescent="0.35">
      <c r="A813" t="str">
        <v>Projector, External Hard Drive, Desk Lamp, Desk Chair</v>
      </c>
      <c r="E813" t="str">
        <v>Home Office</v>
      </c>
      <c r="I813" t="str">
        <v>Nigeria</v>
      </c>
    </row>
    <row r="814" spans="1:9" x14ac:dyDescent="0.35">
      <c r="A814" t="str">
        <v>Speaker, Printer, Desk Chair, Smartphone, Tablet</v>
      </c>
      <c r="E814" t="str">
        <v>Corporate</v>
      </c>
      <c r="I814" t="str">
        <v>Australia</v>
      </c>
    </row>
    <row r="815" spans="1:9" x14ac:dyDescent="0.35">
      <c r="A815" t="str">
        <v>Router, Laptop, Monitor, Desk Chair</v>
      </c>
      <c r="E815" t="str">
        <v>Corporate</v>
      </c>
      <c r="I815" t="str">
        <v>Nigeria</v>
      </c>
    </row>
    <row r="816" spans="1:9" x14ac:dyDescent="0.35">
      <c r="A816" t="str">
        <v>Headphones, Projector, Speaker, Mouse, Desk Chair</v>
      </c>
      <c r="E816" t="str">
        <v>Consumer</v>
      </c>
      <c r="I816" t="str">
        <v>USA</v>
      </c>
    </row>
    <row r="817" spans="1:9" x14ac:dyDescent="0.35">
      <c r="A817" t="str">
        <v>Keyboard, Webcam, Desk Lamp, Projector, Desk Chair</v>
      </c>
      <c r="E817" t="str">
        <v>Corporate</v>
      </c>
      <c r="I817" t="str">
        <v>Canada</v>
      </c>
    </row>
    <row r="818" spans="1:9" x14ac:dyDescent="0.35">
      <c r="A818" t="str">
        <v>Printer, Speaker, Headphones</v>
      </c>
      <c r="E818" t="str">
        <v>Corporate</v>
      </c>
      <c r="I818" t="str">
        <v>Canada</v>
      </c>
    </row>
    <row r="819" spans="1:9" x14ac:dyDescent="0.35">
      <c r="A819" t="str">
        <v>Desk Chair, Mouse, Smartphone, Webcam</v>
      </c>
      <c r="E819" t="str">
        <v>Home Office</v>
      </c>
      <c r="I819" t="str">
        <v>Germany</v>
      </c>
    </row>
    <row r="820" spans="1:9" x14ac:dyDescent="0.35">
      <c r="A820" t="str">
        <v>Projector, Laptop, Printer, Monitor</v>
      </c>
      <c r="E820" t="str">
        <v>Home Office</v>
      </c>
      <c r="I820" t="str">
        <v>Canada</v>
      </c>
    </row>
    <row r="821" spans="1:9" x14ac:dyDescent="0.35">
      <c r="A821" t="str">
        <v>Webcam, Speaker, Smartphone</v>
      </c>
      <c r="E821" t="str">
        <v>Home Office</v>
      </c>
      <c r="I821" t="str">
        <v>Germany</v>
      </c>
    </row>
    <row r="822" spans="1:9" x14ac:dyDescent="0.35">
      <c r="A822" t="str">
        <v>Tablet, Speaker, Desk Chair, Webcam, Projector</v>
      </c>
      <c r="E822" t="str">
        <v>Consumer</v>
      </c>
      <c r="I822" t="str">
        <v>Australia</v>
      </c>
    </row>
    <row r="823" spans="1:9" x14ac:dyDescent="0.35">
      <c r="A823" t="str">
        <v>Desk Lamp, External Hard Drive, Projector, Monitor</v>
      </c>
      <c r="E823" t="str">
        <v>Corporate</v>
      </c>
      <c r="I823" t="str">
        <v>Australia</v>
      </c>
    </row>
    <row r="824" spans="1:9" x14ac:dyDescent="0.35">
      <c r="A824" t="str">
        <v>Desk Chair, Headphones, Tablet, External Hard Drive</v>
      </c>
      <c r="E824" t="str">
        <v>Consumer</v>
      </c>
      <c r="I824" t="str">
        <v>USA</v>
      </c>
    </row>
    <row r="825" spans="1:9" x14ac:dyDescent="0.35">
      <c r="A825" t="str">
        <v>Smartphone, Headphones, Printer, Smart Watch, Projector</v>
      </c>
      <c r="E825" t="str">
        <v>Corporate</v>
      </c>
      <c r="I825" t="str">
        <v>Brazil</v>
      </c>
    </row>
    <row r="826" spans="1:9" x14ac:dyDescent="0.35">
      <c r="A826" t="str">
        <v>Smart Watch, Projector, Desk Lamp, Router</v>
      </c>
      <c r="E826" t="str">
        <v>Corporate</v>
      </c>
      <c r="I826" t="str">
        <v>India</v>
      </c>
    </row>
    <row r="827" spans="1:9" x14ac:dyDescent="0.35">
      <c r="A827" t="str">
        <v>Projector, External Hard Drive, Desk Lamp, Smartphone</v>
      </c>
      <c r="E827" t="str">
        <v>Home Office</v>
      </c>
      <c r="I827" t="str">
        <v>Japan</v>
      </c>
    </row>
    <row r="828" spans="1:9" x14ac:dyDescent="0.35">
      <c r="A828" t="str">
        <v>Tablet, Printer, Projector, Desk Lamp, Mouse</v>
      </c>
      <c r="E828" t="str">
        <v>Corporate</v>
      </c>
      <c r="I828" t="str">
        <v>Brazil</v>
      </c>
    </row>
    <row r="829" spans="1:9" x14ac:dyDescent="0.35">
      <c r="A829" t="str">
        <v>Monitor, Smartphone, Projector, Desk Lamp, Mouse</v>
      </c>
      <c r="E829" t="str">
        <v>Corporate</v>
      </c>
      <c r="I829" t="str">
        <v>Germany</v>
      </c>
    </row>
    <row r="830" spans="1:9" x14ac:dyDescent="0.35">
      <c r="A830" t="str">
        <v>Laptop, Mouse, Speaker, Smartphone</v>
      </c>
      <c r="E830" t="str">
        <v>Corporate</v>
      </c>
      <c r="I830" t="str">
        <v>France</v>
      </c>
    </row>
    <row r="831" spans="1:9" x14ac:dyDescent="0.35">
      <c r="A831" t="str">
        <v>Webcam, Speaker, Smart Watch, Smartphone, Tablet</v>
      </c>
      <c r="E831" t="str">
        <v>Home Office</v>
      </c>
      <c r="I831" t="str">
        <v>UK</v>
      </c>
    </row>
    <row r="832" spans="1:9" x14ac:dyDescent="0.35">
      <c r="A832" t="str">
        <v>Desk Chair, Smartphone, Tablet, Keyboard, Laptop</v>
      </c>
      <c r="E832" t="str">
        <v>Consumer</v>
      </c>
      <c r="I832" t="str">
        <v>Canada</v>
      </c>
    </row>
    <row r="833" spans="1:9" x14ac:dyDescent="0.35">
      <c r="A833" t="str">
        <v>Tablet, Smartphone, Desk Chair</v>
      </c>
      <c r="E833" t="str">
        <v>Corporate</v>
      </c>
      <c r="I833" t="str">
        <v>Germany</v>
      </c>
    </row>
    <row r="834" spans="1:9" x14ac:dyDescent="0.35">
      <c r="A834" t="str">
        <v>Smartphone, External Hard Drive, Router, Desk Chair</v>
      </c>
      <c r="E834" t="str">
        <v>Home Office</v>
      </c>
      <c r="I834" t="str">
        <v>Nigeria</v>
      </c>
    </row>
    <row r="835" spans="1:9" x14ac:dyDescent="0.35">
      <c r="A835" t="str">
        <v>Desk Chair, Speaker, Projector</v>
      </c>
      <c r="E835" t="str">
        <v>Home Office</v>
      </c>
      <c r="I835" t="str">
        <v>Germany</v>
      </c>
    </row>
    <row r="836" spans="1:9" x14ac:dyDescent="0.35">
      <c r="A836" t="str">
        <v>Router, Smart Watch, Keyboard, External Hard Drive</v>
      </c>
      <c r="E836" t="str">
        <v>Corporate</v>
      </c>
      <c r="I836" t="str">
        <v>Australia</v>
      </c>
    </row>
    <row r="837" spans="1:9" x14ac:dyDescent="0.35">
      <c r="A837" t="str">
        <v>Laptop, Tablet, Keyboard</v>
      </c>
      <c r="E837" t="str">
        <v>Home Office</v>
      </c>
      <c r="I837" t="str">
        <v>Germany</v>
      </c>
    </row>
    <row r="838" spans="1:9" x14ac:dyDescent="0.35">
      <c r="A838" t="str">
        <v>Desk Chair, Printer, Router, Projector</v>
      </c>
      <c r="E838" t="str">
        <v>Home Office</v>
      </c>
      <c r="I838" t="str">
        <v>USA</v>
      </c>
    </row>
    <row r="839" spans="1:9" x14ac:dyDescent="0.35">
      <c r="A839" t="str">
        <v>Tablet, Smart Watch, Desk Lamp, Printer</v>
      </c>
      <c r="E839" t="str">
        <v>Consumer</v>
      </c>
      <c r="I839" t="str">
        <v>Japan</v>
      </c>
    </row>
    <row r="840" spans="1:9" x14ac:dyDescent="0.35">
      <c r="A840" t="str">
        <v>Webcam, Headphones, Monitor</v>
      </c>
      <c r="E840" t="str">
        <v>Consumer</v>
      </c>
      <c r="I840" t="str">
        <v>Australia</v>
      </c>
    </row>
    <row r="841" spans="1:9" x14ac:dyDescent="0.35">
      <c r="A841" t="str">
        <v>External Hard Drive, Keyboard, Laptop, Desk Lamp</v>
      </c>
      <c r="E841" t="str">
        <v>Consumer</v>
      </c>
      <c r="I841" t="str">
        <v>Germany</v>
      </c>
    </row>
    <row r="842" spans="1:9" x14ac:dyDescent="0.35">
      <c r="A842" t="str">
        <v>Laptop, Keyboard, Headphones, Tablet, Smart Watch</v>
      </c>
      <c r="E842" t="str">
        <v>Home Office</v>
      </c>
      <c r="I842" t="str">
        <v>Nigeria</v>
      </c>
    </row>
    <row r="843" spans="1:9" x14ac:dyDescent="0.35">
      <c r="A843" t="str">
        <v>Projector, External Hard Drive, Desk Lamp, Desk Chair</v>
      </c>
      <c r="E843" t="str">
        <v>Corporate</v>
      </c>
      <c r="I843" t="str">
        <v>Germany</v>
      </c>
    </row>
    <row r="844" spans="1:9" x14ac:dyDescent="0.35">
      <c r="A844" t="str">
        <v>Speaker, Tablet, Desk Chair</v>
      </c>
      <c r="E844" t="str">
        <v>Consumer</v>
      </c>
      <c r="I844" t="str">
        <v>Germany</v>
      </c>
    </row>
    <row r="845" spans="1:9" x14ac:dyDescent="0.35">
      <c r="A845" t="str">
        <v>Mouse, Desk Lamp, External Hard Drive, Keyboard</v>
      </c>
      <c r="E845" t="str">
        <v>Corporate</v>
      </c>
      <c r="I845" t="str">
        <v>Canada</v>
      </c>
    </row>
    <row r="846" spans="1:9" x14ac:dyDescent="0.35">
      <c r="A846" t="str">
        <v>Laptop, Smart Watch, Printer, Router</v>
      </c>
      <c r="E846" t="str">
        <v>Consumer</v>
      </c>
      <c r="I846" t="str">
        <v>Japan</v>
      </c>
    </row>
    <row r="847" spans="1:9" x14ac:dyDescent="0.35">
      <c r="A847" t="str">
        <v>Desk Lamp, Desk Chair, Speaker, External Hard Drive, Laptop</v>
      </c>
      <c r="E847" t="str">
        <v>Corporate</v>
      </c>
      <c r="I847" t="str">
        <v>Canada</v>
      </c>
    </row>
    <row r="848" spans="1:9" x14ac:dyDescent="0.35">
      <c r="A848" t="str">
        <v>Laptop, Speaker, Desk Chair, Printer</v>
      </c>
      <c r="E848" t="str">
        <v>Home Office</v>
      </c>
      <c r="I848" t="str">
        <v>India</v>
      </c>
    </row>
    <row r="849" spans="1:9" x14ac:dyDescent="0.35">
      <c r="A849" t="str">
        <v>Monitor, Projector, Webcam, External Hard Drive, Printer</v>
      </c>
      <c r="E849" t="str">
        <v>Corporate</v>
      </c>
      <c r="I849" t="str">
        <v>Germany</v>
      </c>
    </row>
    <row r="850" spans="1:9" x14ac:dyDescent="0.35">
      <c r="A850" t="str">
        <v>Laptop, Speaker, Desk Lamp, Desk Chair</v>
      </c>
      <c r="E850" t="str">
        <v>Corporate</v>
      </c>
      <c r="I850" t="str">
        <v>Nigeria</v>
      </c>
    </row>
    <row r="851" spans="1:9" x14ac:dyDescent="0.35">
      <c r="A851" t="str">
        <v>Webcam, Printer, Headphones, Tablet, External Hard Drive</v>
      </c>
      <c r="E851" t="str">
        <v>Consumer</v>
      </c>
      <c r="I851" t="str">
        <v>USA</v>
      </c>
    </row>
    <row r="852" spans="1:9" x14ac:dyDescent="0.35">
      <c r="A852" t="str">
        <v>Desk Chair, Laptop, Smart Watch, Webcam</v>
      </c>
      <c r="E852" t="str">
        <v>Corporate</v>
      </c>
      <c r="I852" t="str">
        <v>France</v>
      </c>
    </row>
    <row r="853" spans="1:9" x14ac:dyDescent="0.35">
      <c r="A853" t="str">
        <v>Keyboard, Router, Projector, Webcam, External Hard Drive</v>
      </c>
      <c r="E853" t="str">
        <v>Consumer</v>
      </c>
      <c r="I853" t="str">
        <v>UK</v>
      </c>
    </row>
    <row r="854" spans="1:9" x14ac:dyDescent="0.35">
      <c r="A854" t="str">
        <v>Desk Chair, Mouse, Printer, Keyboard, Smart Watch</v>
      </c>
      <c r="E854" t="str">
        <v>Corporate</v>
      </c>
      <c r="I854" t="str">
        <v>Brazil</v>
      </c>
    </row>
    <row r="855" spans="1:9" x14ac:dyDescent="0.35">
      <c r="A855" t="str">
        <v>Smartphone, Desk Lamp, Speaker, Laptop, Webcam</v>
      </c>
      <c r="E855" t="str">
        <v>Consumer</v>
      </c>
      <c r="I855" t="str">
        <v>Canada</v>
      </c>
    </row>
    <row r="856" spans="1:9" x14ac:dyDescent="0.35">
      <c r="A856" t="str">
        <v>Router, Monitor, External Hard Drive, Keyboard, Smart Watch</v>
      </c>
      <c r="E856" t="str">
        <v>Home Office</v>
      </c>
      <c r="I856" t="str">
        <v>Australia</v>
      </c>
    </row>
    <row r="857" spans="1:9" x14ac:dyDescent="0.35">
      <c r="A857" t="str">
        <v>Keyboard, Router, Desk Chair, Webcam, Smartphone</v>
      </c>
      <c r="E857" t="str">
        <v>Consumer</v>
      </c>
      <c r="I857" t="str">
        <v>USA</v>
      </c>
    </row>
    <row r="858" spans="1:9" x14ac:dyDescent="0.35">
      <c r="A858" t="str">
        <v>Monitor, Tablet, Mouse</v>
      </c>
      <c r="E858" t="str">
        <v>Home Office</v>
      </c>
      <c r="I858" t="str">
        <v>Japan</v>
      </c>
    </row>
    <row r="859" spans="1:9" x14ac:dyDescent="0.35">
      <c r="A859" t="str">
        <v>Projector, Keyboard, Monitor, Tablet, Smart Watch</v>
      </c>
      <c r="E859" t="str">
        <v>Consumer</v>
      </c>
      <c r="I859" t="str">
        <v>Nigeria</v>
      </c>
    </row>
    <row r="860" spans="1:9" x14ac:dyDescent="0.35">
      <c r="A860" t="str">
        <v>Tablet, Webcam, Printer, Laptop</v>
      </c>
      <c r="E860" t="str">
        <v>Corporate</v>
      </c>
      <c r="I860" t="str">
        <v>Nigeria</v>
      </c>
    </row>
    <row r="861" spans="1:9" x14ac:dyDescent="0.35">
      <c r="A861" t="str">
        <v>Printer, Projector, Mouse, Desk Lamp</v>
      </c>
      <c r="E861" t="str">
        <v>Corporate</v>
      </c>
      <c r="I861" t="str">
        <v>India</v>
      </c>
    </row>
    <row r="862" spans="1:9" x14ac:dyDescent="0.35">
      <c r="A862" t="str">
        <v>Webcam, Laptop, Desk Chair, Router, Tablet</v>
      </c>
      <c r="E862" t="str">
        <v>Corporate</v>
      </c>
      <c r="I862" t="str">
        <v>Canada</v>
      </c>
    </row>
    <row r="863" spans="1:9" x14ac:dyDescent="0.35">
      <c r="A863" t="str">
        <v>Keyboard, Desk Chair, Tablet</v>
      </c>
      <c r="E863" t="str">
        <v>Home Office</v>
      </c>
      <c r="I863" t="str">
        <v>India</v>
      </c>
    </row>
    <row r="864" spans="1:9" x14ac:dyDescent="0.35">
      <c r="A864" t="str">
        <v>Projector, Keyboard, Monitor, Desk Lamp</v>
      </c>
      <c r="E864" t="str">
        <v>Corporate</v>
      </c>
      <c r="I864" t="str">
        <v>Japan</v>
      </c>
    </row>
    <row r="865" spans="1:9" x14ac:dyDescent="0.35">
      <c r="A865" t="str">
        <v>Smartphone, Desk Lamp, Headphones</v>
      </c>
      <c r="E865" t="str">
        <v>Consumer</v>
      </c>
      <c r="I865" t="str">
        <v>USA</v>
      </c>
    </row>
    <row r="866" spans="1:9" x14ac:dyDescent="0.35">
      <c r="A866" t="str">
        <v>Smart Watch, Laptop, Monitor</v>
      </c>
      <c r="E866" t="str">
        <v>Home Office</v>
      </c>
      <c r="I866" t="str">
        <v>Brazil</v>
      </c>
    </row>
    <row r="867" spans="1:9" x14ac:dyDescent="0.35">
      <c r="A867" t="str">
        <v>Keyboard, Smartphone, Smart Watch</v>
      </c>
      <c r="E867" t="str">
        <v>Consumer</v>
      </c>
      <c r="I867" t="str">
        <v>India</v>
      </c>
    </row>
    <row r="868" spans="1:9" x14ac:dyDescent="0.35">
      <c r="A868" t="str">
        <v>Projector, External Hard Drive, Keyboard, Tablet</v>
      </c>
      <c r="E868" t="str">
        <v>Home Office</v>
      </c>
      <c r="I868" t="str">
        <v>USA</v>
      </c>
    </row>
    <row r="869" spans="1:9" x14ac:dyDescent="0.35">
      <c r="A869" t="str">
        <v>Headphones, Keyboard, Smart Watch</v>
      </c>
      <c r="E869" t="str">
        <v>Consumer</v>
      </c>
      <c r="I869" t="str">
        <v>USA</v>
      </c>
    </row>
    <row r="870" spans="1:9" x14ac:dyDescent="0.35">
      <c r="A870" t="str">
        <v>Tablet, Desk Lamp, Speaker, Desk Chair</v>
      </c>
      <c r="E870" t="str">
        <v>Corporate</v>
      </c>
      <c r="I870" t="str">
        <v>Canada</v>
      </c>
    </row>
    <row r="871" spans="1:9" x14ac:dyDescent="0.35">
      <c r="A871" t="str">
        <v>Smartphone, Webcam, Desk Lamp, Printer, Laptop</v>
      </c>
      <c r="E871" t="str">
        <v>Consumer</v>
      </c>
      <c r="I871" t="str">
        <v>Germany</v>
      </c>
    </row>
    <row r="872" spans="1:9" x14ac:dyDescent="0.35">
      <c r="A872" t="str">
        <v>Keyboard, Router, Projector, Monitor, Mouse</v>
      </c>
      <c r="E872" t="str">
        <v>Corporate</v>
      </c>
      <c r="I872" t="str">
        <v>Nigeria</v>
      </c>
    </row>
    <row r="873" spans="1:9" x14ac:dyDescent="0.35">
      <c r="A873" t="str">
        <v>Tablet, Smartphone, Speaker</v>
      </c>
      <c r="E873" t="str">
        <v>Corporate</v>
      </c>
      <c r="I873" t="str">
        <v>UK</v>
      </c>
    </row>
    <row r="874" spans="1:9" x14ac:dyDescent="0.35">
      <c r="A874" t="str">
        <v>Smart Watch, Laptop, Tablet</v>
      </c>
      <c r="E874" t="str">
        <v>Consumer</v>
      </c>
      <c r="I874" t="str">
        <v>Australia</v>
      </c>
    </row>
    <row r="875" spans="1:9" x14ac:dyDescent="0.35">
      <c r="A875" t="str">
        <v>Mouse, Projector, Smart Watch</v>
      </c>
      <c r="E875" t="str">
        <v>Corporate</v>
      </c>
      <c r="I875" t="str">
        <v>Canada</v>
      </c>
    </row>
    <row r="876" spans="1:9" x14ac:dyDescent="0.35">
      <c r="A876" t="str">
        <v>Smartphone, External Hard Drive, Keyboard, Webcam</v>
      </c>
      <c r="E876" t="str">
        <v>Corporate</v>
      </c>
      <c r="I876" t="str">
        <v>Brazil</v>
      </c>
    </row>
    <row r="877" spans="1:9" x14ac:dyDescent="0.35">
      <c r="A877" t="str">
        <v>Mouse, Desk Lamp, Webcam, Projector</v>
      </c>
      <c r="E877" t="str">
        <v>Home Office</v>
      </c>
      <c r="I877" t="str">
        <v>UK</v>
      </c>
    </row>
    <row r="878" spans="1:9" x14ac:dyDescent="0.35">
      <c r="A878" t="str">
        <v>Smart Watch, Keyboard, Router, Tablet, Laptop</v>
      </c>
      <c r="E878" t="str">
        <v>Corporate</v>
      </c>
      <c r="I878" t="str">
        <v>France</v>
      </c>
    </row>
    <row r="879" spans="1:9" x14ac:dyDescent="0.35">
      <c r="A879" t="str">
        <v>Mouse, Monitor, Speaker</v>
      </c>
      <c r="E879" t="str">
        <v>Corporate</v>
      </c>
      <c r="I879" t="str">
        <v>Brazil</v>
      </c>
    </row>
    <row r="880" spans="1:9" x14ac:dyDescent="0.35">
      <c r="A880" t="str">
        <v>Router, Headphones, Monitor, Mouse, Speaker</v>
      </c>
      <c r="E880" t="str">
        <v>Home Office</v>
      </c>
      <c r="I880" t="str">
        <v>France</v>
      </c>
    </row>
    <row r="881" spans="1:9" x14ac:dyDescent="0.35">
      <c r="A881" t="str">
        <v>Headphones, Speaker, Smart Watch, Keyboard</v>
      </c>
      <c r="E881" t="str">
        <v>Consumer</v>
      </c>
      <c r="I881" t="str">
        <v>Nigeria</v>
      </c>
    </row>
    <row r="882" spans="1:9" x14ac:dyDescent="0.35">
      <c r="A882" t="str">
        <v>Monitor, Printer, Desk Lamp, Webcam</v>
      </c>
      <c r="E882" t="str">
        <v>Corporate</v>
      </c>
      <c r="I882" t="str">
        <v>Japan</v>
      </c>
    </row>
    <row r="883" spans="1:9" x14ac:dyDescent="0.35">
      <c r="A883" t="str">
        <v>External Hard Drive, Laptop, Mouse</v>
      </c>
      <c r="E883" t="str">
        <v>Consumer</v>
      </c>
      <c r="I883" t="str">
        <v>Japan</v>
      </c>
    </row>
    <row r="884" spans="1:9" x14ac:dyDescent="0.35">
      <c r="A884" t="str">
        <v>Router, Desk Lamp, Headphones, Keyboard, Smartphone</v>
      </c>
      <c r="E884" t="str">
        <v>Consumer</v>
      </c>
      <c r="I884" t="str">
        <v>India</v>
      </c>
    </row>
    <row r="885" spans="1:9" x14ac:dyDescent="0.35">
      <c r="A885" t="str">
        <v>Tablet, Smartphone, Mouse</v>
      </c>
      <c r="E885" t="str">
        <v>Consumer</v>
      </c>
      <c r="I885" t="str">
        <v>India</v>
      </c>
    </row>
    <row r="886" spans="1:9" x14ac:dyDescent="0.35">
      <c r="A886" t="str">
        <v>Desk Lamp, Desk Chair, Laptop, Monitor</v>
      </c>
      <c r="E886" t="str">
        <v>Home Office</v>
      </c>
      <c r="I886" t="str">
        <v>USA</v>
      </c>
    </row>
    <row r="887" spans="1:9" x14ac:dyDescent="0.35">
      <c r="A887" t="str">
        <v>Mouse, Projector, Smart Watch, Monitor</v>
      </c>
      <c r="E887" t="str">
        <v>Home Office</v>
      </c>
      <c r="I887" t="str">
        <v>Nigeria</v>
      </c>
    </row>
    <row r="888" spans="1:9" x14ac:dyDescent="0.35">
      <c r="A888" t="str">
        <v>External Hard Drive, Printer, Desk Chair, Headphones</v>
      </c>
      <c r="E888" t="str">
        <v>Consumer</v>
      </c>
      <c r="I888" t="str">
        <v>USA</v>
      </c>
    </row>
    <row r="889" spans="1:9" x14ac:dyDescent="0.35">
      <c r="A889" t="str">
        <v>Monitor, Headphones, Keyboard, External Hard Drive</v>
      </c>
      <c r="E889" t="str">
        <v>Home Office</v>
      </c>
      <c r="I889" t="str">
        <v>Germany</v>
      </c>
    </row>
    <row r="890" spans="1:9" x14ac:dyDescent="0.35">
      <c r="A890" t="str">
        <v>Smart Watch, Headphones, Tablet, Desk Lamp</v>
      </c>
      <c r="E890" t="str">
        <v>Corporate</v>
      </c>
      <c r="I890" t="str">
        <v>Canada</v>
      </c>
    </row>
    <row r="891" spans="1:9" x14ac:dyDescent="0.35">
      <c r="A891" t="str">
        <v>Webcam, Projector, Laptop, Desk Chair, Router</v>
      </c>
      <c r="E891" t="str">
        <v>Consumer</v>
      </c>
      <c r="I891" t="str">
        <v>USA</v>
      </c>
    </row>
    <row r="892" spans="1:9" x14ac:dyDescent="0.35">
      <c r="A892" t="str">
        <v>Webcam, Printer, Desk Lamp, Projector, Smart Watch</v>
      </c>
      <c r="E892" t="str">
        <v>Consumer</v>
      </c>
      <c r="I892" t="str">
        <v>India</v>
      </c>
    </row>
    <row r="893" spans="1:9" x14ac:dyDescent="0.35">
      <c r="A893" t="str">
        <v>Keyboard, Smart Watch, Speaker, Mouse</v>
      </c>
      <c r="E893" t="str">
        <v>Home Office</v>
      </c>
      <c r="I893" t="str">
        <v>France</v>
      </c>
    </row>
    <row r="894" spans="1:9" x14ac:dyDescent="0.35">
      <c r="A894" t="str">
        <v>Laptop, Keyboard, Printer, Speaker, Smartphone</v>
      </c>
      <c r="E894" t="str">
        <v>Consumer</v>
      </c>
      <c r="I894" t="str">
        <v>India</v>
      </c>
    </row>
    <row r="895" spans="1:9" x14ac:dyDescent="0.35">
      <c r="A895" t="str">
        <v>Mouse, Smartphone, Webcam, Desk Chair, Speaker</v>
      </c>
      <c r="E895" t="str">
        <v>Home Office</v>
      </c>
      <c r="I895" t="str">
        <v>Canada</v>
      </c>
    </row>
    <row r="896" spans="1:9" x14ac:dyDescent="0.35">
      <c r="A896" t="str">
        <v>External Hard Drive, Webcam, Headphones, Smart Watch</v>
      </c>
      <c r="E896" t="str">
        <v>Consumer</v>
      </c>
      <c r="I896" t="str">
        <v>Australia</v>
      </c>
    </row>
    <row r="897" spans="1:9" x14ac:dyDescent="0.35">
      <c r="A897" t="str">
        <v>Printer, Speaker, Smartphone, Smart Watch</v>
      </c>
      <c r="E897" t="str">
        <v>Corporate</v>
      </c>
      <c r="I897" t="str">
        <v>Germany</v>
      </c>
    </row>
    <row r="898" spans="1:9" x14ac:dyDescent="0.35">
      <c r="A898" t="str">
        <v>Smart Watch, Smartphone, Mouse</v>
      </c>
      <c r="E898" t="str">
        <v>Consumer</v>
      </c>
      <c r="I898" t="str">
        <v>France</v>
      </c>
    </row>
    <row r="899" spans="1:9" x14ac:dyDescent="0.35">
      <c r="A899" t="str">
        <v>Headphones, Keyboard, Smart Watch, Speaker</v>
      </c>
      <c r="E899" t="str">
        <v>Consumer</v>
      </c>
      <c r="I899" t="str">
        <v>Brazil</v>
      </c>
    </row>
    <row r="900" spans="1:9" x14ac:dyDescent="0.35">
      <c r="A900" t="str">
        <v>Keyboard, Printer, Headphones, Webcam, Router</v>
      </c>
      <c r="E900" t="str">
        <v>Corporate</v>
      </c>
      <c r="I900" t="str">
        <v>USA</v>
      </c>
    </row>
    <row r="901" spans="1:9" x14ac:dyDescent="0.35">
      <c r="A901" t="str">
        <v>Headphones, Printer, Speaker, Keyboard</v>
      </c>
      <c r="E901" t="str">
        <v>Corporate</v>
      </c>
      <c r="I901" t="str">
        <v>Canada</v>
      </c>
    </row>
    <row r="902" spans="1:9" x14ac:dyDescent="0.35">
      <c r="A902" t="str">
        <v>Smart Watch, Router, External Hard Drive</v>
      </c>
      <c r="E902" t="str">
        <v>Corporate</v>
      </c>
      <c r="I902" t="str">
        <v>France</v>
      </c>
    </row>
    <row r="903" spans="1:9" x14ac:dyDescent="0.35">
      <c r="A903" t="str">
        <v>Laptop, Webcam, Keyboard, Desk Lamp</v>
      </c>
      <c r="E903" t="str">
        <v>Consumer</v>
      </c>
      <c r="I903" t="str">
        <v>USA</v>
      </c>
    </row>
    <row r="904" spans="1:9" x14ac:dyDescent="0.35">
      <c r="A904" t="str">
        <v>Speaker, Router, Tablet, Desk Lamp</v>
      </c>
      <c r="E904" t="str">
        <v>Home Office</v>
      </c>
      <c r="I904" t="str">
        <v>Australia</v>
      </c>
    </row>
    <row r="905" spans="1:9" x14ac:dyDescent="0.35">
      <c r="A905" t="str">
        <v>Smart Watch, Printer, Speaker, Monitor</v>
      </c>
      <c r="E905" t="str">
        <v>Home Office</v>
      </c>
      <c r="I905" t="str">
        <v>UK</v>
      </c>
    </row>
    <row r="906" spans="1:9" x14ac:dyDescent="0.35">
      <c r="A906" t="str">
        <v>Tablet, Webcam, Headphones, Smartphone</v>
      </c>
      <c r="E906" t="str">
        <v>Corporate</v>
      </c>
      <c r="I906" t="str">
        <v>Germany</v>
      </c>
    </row>
    <row r="907" spans="1:9" x14ac:dyDescent="0.35">
      <c r="A907" t="str">
        <v>Router, Printer, Monitor</v>
      </c>
      <c r="E907" t="str">
        <v>Corporate</v>
      </c>
      <c r="I907" t="str">
        <v>Brazil</v>
      </c>
    </row>
    <row r="908" spans="1:9" x14ac:dyDescent="0.35">
      <c r="A908" t="str">
        <v>Smart Watch, Smartphone, Monitor, Router</v>
      </c>
      <c r="E908" t="str">
        <v>Home Office</v>
      </c>
      <c r="I908" t="str">
        <v>India</v>
      </c>
    </row>
    <row r="909" spans="1:9" x14ac:dyDescent="0.35">
      <c r="A909" t="str">
        <v>Keyboard, Desk Lamp, Webcam</v>
      </c>
      <c r="E909" t="str">
        <v>Home Office</v>
      </c>
      <c r="I909" t="str">
        <v>Germany</v>
      </c>
    </row>
    <row r="910" spans="1:9" x14ac:dyDescent="0.35">
      <c r="A910" t="str">
        <v>External Hard Drive, Projector, Keyboard, Desk Lamp</v>
      </c>
      <c r="E910" t="str">
        <v>Home Office</v>
      </c>
      <c r="I910" t="str">
        <v>France</v>
      </c>
    </row>
    <row r="911" spans="1:9" x14ac:dyDescent="0.35">
      <c r="A911" t="str">
        <v>Mouse, Router, Keyboard, Webcam, Printer</v>
      </c>
      <c r="E911" t="str">
        <v>Consumer</v>
      </c>
      <c r="I911" t="str">
        <v>Japan</v>
      </c>
    </row>
    <row r="912" spans="1:9" x14ac:dyDescent="0.35">
      <c r="A912" t="str">
        <v>Speaker, Mouse, Smart Watch, Desk Chair</v>
      </c>
      <c r="E912" t="str">
        <v>Corporate</v>
      </c>
      <c r="I912" t="str">
        <v>Japan</v>
      </c>
    </row>
    <row r="913" spans="1:9" x14ac:dyDescent="0.35">
      <c r="A913" t="str">
        <v>External Hard Drive, Router, Mouse, Speaker, Laptop</v>
      </c>
      <c r="E913" t="str">
        <v>Consumer</v>
      </c>
      <c r="I913" t="str">
        <v>Brazil</v>
      </c>
    </row>
    <row r="914" spans="1:9" x14ac:dyDescent="0.35">
      <c r="A914" t="str">
        <v>Router, Mouse, External Hard Drive, Projector, Desk Lamp</v>
      </c>
      <c r="E914" t="str">
        <v>Consumer</v>
      </c>
      <c r="I914" t="str">
        <v>USA</v>
      </c>
    </row>
    <row r="915" spans="1:9" x14ac:dyDescent="0.35">
      <c r="A915" t="str">
        <v>Router, Printer, Mouse, Tablet</v>
      </c>
      <c r="E915" t="str">
        <v>Consumer</v>
      </c>
      <c r="I915" t="str">
        <v>Germany</v>
      </c>
    </row>
    <row r="916" spans="1:9" x14ac:dyDescent="0.35">
      <c r="A916" t="str">
        <v>Speaker, Keyboard, Smart Watch</v>
      </c>
      <c r="E916" t="str">
        <v>Consumer</v>
      </c>
      <c r="I916" t="str">
        <v>USA</v>
      </c>
    </row>
    <row r="917" spans="1:9" x14ac:dyDescent="0.35">
      <c r="A917" t="str">
        <v>Headphones, Router, Keyboard</v>
      </c>
      <c r="E917" t="str">
        <v>Consumer</v>
      </c>
      <c r="I917" t="str">
        <v>USA</v>
      </c>
    </row>
    <row r="918" spans="1:9" x14ac:dyDescent="0.35">
      <c r="A918" t="str">
        <v>Laptop, Headphones, Tablet, Projector, Smart Watch</v>
      </c>
      <c r="E918" t="str">
        <v>Corporate</v>
      </c>
      <c r="I918" t="str">
        <v>Australia</v>
      </c>
    </row>
    <row r="919" spans="1:9" x14ac:dyDescent="0.35">
      <c r="A919" t="str">
        <v>Router, Smart Watch, Desk Chair</v>
      </c>
      <c r="E919" t="str">
        <v>Consumer</v>
      </c>
      <c r="I919" t="str">
        <v>UK</v>
      </c>
    </row>
    <row r="920" spans="1:9" x14ac:dyDescent="0.35">
      <c r="A920" t="str">
        <v>Mouse, Webcam, Tablet, Headphones, Smartphone</v>
      </c>
      <c r="E920" t="str">
        <v>Consumer</v>
      </c>
      <c r="I920" t="str">
        <v>Nigeria</v>
      </c>
    </row>
    <row r="921" spans="1:9" x14ac:dyDescent="0.35">
      <c r="A921" t="str">
        <v>Monitor, Router, External Hard Drive, Tablet, Keyboard</v>
      </c>
      <c r="E921" t="str">
        <v>Consumer</v>
      </c>
      <c r="I921" t="str">
        <v>France</v>
      </c>
    </row>
    <row r="922" spans="1:9" x14ac:dyDescent="0.35">
      <c r="A922" t="str">
        <v>Smartphone, Speaker, Keyboard</v>
      </c>
      <c r="E922" t="str">
        <v>Home Office</v>
      </c>
      <c r="I922" t="str">
        <v>Germany</v>
      </c>
    </row>
    <row r="923" spans="1:9" x14ac:dyDescent="0.35">
      <c r="A923" t="str">
        <v>Monitor, Laptop, Mouse, Tablet, External Hard Drive</v>
      </c>
      <c r="E923" t="str">
        <v>Home Office</v>
      </c>
      <c r="I923" t="str">
        <v>UK</v>
      </c>
    </row>
    <row r="924" spans="1:9" x14ac:dyDescent="0.35">
      <c r="A924" t="str">
        <v>Speaker, Projector, Desk Lamp</v>
      </c>
      <c r="E924" t="str">
        <v>Corporate</v>
      </c>
      <c r="I924" t="str">
        <v>Australia</v>
      </c>
    </row>
    <row r="925" spans="1:9" x14ac:dyDescent="0.35">
      <c r="A925" t="str">
        <v>Webcam, Desk Lamp, Keyboard</v>
      </c>
      <c r="E925" t="str">
        <v>Home Office</v>
      </c>
      <c r="I925" t="str">
        <v>Brazil</v>
      </c>
    </row>
    <row r="926" spans="1:9" x14ac:dyDescent="0.35">
      <c r="A926" t="str">
        <v>Desk Lamp, Laptop, Printer, Projector</v>
      </c>
      <c r="E926" t="str">
        <v>Home Office</v>
      </c>
      <c r="I926" t="str">
        <v>UK</v>
      </c>
    </row>
    <row r="927" spans="1:9" x14ac:dyDescent="0.35">
      <c r="A927" t="str">
        <v>Mouse, Smartphone, Router, Smart Watch, Desk Lamp</v>
      </c>
      <c r="E927" t="str">
        <v>Consumer</v>
      </c>
      <c r="I927" t="str">
        <v>Japan</v>
      </c>
    </row>
    <row r="928" spans="1:9" x14ac:dyDescent="0.35">
      <c r="A928" t="str">
        <v>Headphones, Smart Watch, Mouse, Printer</v>
      </c>
      <c r="E928" t="str">
        <v>Home Office</v>
      </c>
      <c r="I928" t="str">
        <v>USA</v>
      </c>
    </row>
    <row r="929" spans="1:9" x14ac:dyDescent="0.35">
      <c r="A929" t="str">
        <v>Smartphone, Webcam, Router, Printer, External Hard Drive</v>
      </c>
      <c r="E929" t="str">
        <v>Corporate</v>
      </c>
      <c r="I929" t="str">
        <v>Brazil</v>
      </c>
    </row>
    <row r="930" spans="1:9" x14ac:dyDescent="0.35">
      <c r="A930" t="str">
        <v>Router, Desk Lamp, Projector, Laptop</v>
      </c>
      <c r="E930" t="str">
        <v>Home Office</v>
      </c>
      <c r="I930" t="str">
        <v>USA</v>
      </c>
    </row>
    <row r="931" spans="1:9" x14ac:dyDescent="0.35">
      <c r="A931" t="str">
        <v>Mouse, Desk Lamp, Router, Laptop, Smartphone</v>
      </c>
      <c r="E931" t="str">
        <v>Home Office</v>
      </c>
      <c r="I931" t="str">
        <v>Brazil</v>
      </c>
    </row>
    <row r="932" spans="1:9" x14ac:dyDescent="0.35">
      <c r="A932" t="str">
        <v>Speaker, Desk Chair, Projector, Desk Lamp, Router</v>
      </c>
      <c r="E932" t="str">
        <v>Consumer</v>
      </c>
      <c r="I932" t="str">
        <v>India</v>
      </c>
    </row>
    <row r="933" spans="1:9" x14ac:dyDescent="0.35">
      <c r="A933" t="str">
        <v>Tablet, External Hard Drive, Router, Keyboard, Speaker</v>
      </c>
      <c r="E933" t="str">
        <v>Consumer</v>
      </c>
      <c r="I933" t="str">
        <v>Canada</v>
      </c>
    </row>
    <row r="934" spans="1:9" x14ac:dyDescent="0.35">
      <c r="A934" t="str">
        <v>Smartphone, Router, Printer, Desk Lamp</v>
      </c>
      <c r="E934" t="str">
        <v>Home Office</v>
      </c>
      <c r="I934" t="str">
        <v>Germany</v>
      </c>
    </row>
    <row r="935" spans="1:9" x14ac:dyDescent="0.35">
      <c r="A935" t="str">
        <v>Printer, Tablet, Mouse</v>
      </c>
      <c r="E935" t="str">
        <v>Consumer</v>
      </c>
      <c r="I935" t="str">
        <v>Germany</v>
      </c>
    </row>
    <row r="936" spans="1:9" x14ac:dyDescent="0.35">
      <c r="A936" t="str">
        <v>Webcam, Smart Watch, Printer</v>
      </c>
      <c r="E936" t="str">
        <v>Home Office</v>
      </c>
      <c r="I936" t="str">
        <v>Canada</v>
      </c>
    </row>
    <row r="937" spans="1:9" x14ac:dyDescent="0.35">
      <c r="A937" t="str">
        <v>Smartphone, Printer, Keyboard, Desk Lamp</v>
      </c>
      <c r="E937" t="str">
        <v>Home Office</v>
      </c>
      <c r="I937" t="str">
        <v>France</v>
      </c>
    </row>
    <row r="938" spans="1:9" x14ac:dyDescent="0.35">
      <c r="A938" t="str">
        <v>Printer, External Hard Drive, Smart Watch, Projector, Desk Lamp</v>
      </c>
      <c r="E938" t="str">
        <v>Consumer</v>
      </c>
      <c r="I938" t="str">
        <v>Nigeria</v>
      </c>
    </row>
    <row r="939" spans="1:9" x14ac:dyDescent="0.35">
      <c r="A939" t="str">
        <v>Smart Watch, Smartphone, Router, Projector, Monitor</v>
      </c>
      <c r="E939" t="str">
        <v>Consumer</v>
      </c>
      <c r="I939" t="str">
        <v>Canada</v>
      </c>
    </row>
    <row r="940" spans="1:9" x14ac:dyDescent="0.35">
      <c r="A940" t="str">
        <v>Printer, Webcam, Desk Lamp, Mouse</v>
      </c>
      <c r="E940" t="str">
        <v>Consumer</v>
      </c>
      <c r="I940" t="str">
        <v>Brazil</v>
      </c>
    </row>
    <row r="941" spans="1:9" x14ac:dyDescent="0.35">
      <c r="A941" t="str">
        <v>Monitor, Printer, Headphones, Projector, Smartphone</v>
      </c>
      <c r="E941" t="str">
        <v>Consumer</v>
      </c>
      <c r="I941" t="str">
        <v>USA</v>
      </c>
    </row>
    <row r="942" spans="1:9" x14ac:dyDescent="0.35">
      <c r="A942" t="str">
        <v>Webcam, Smartphone, Desk Chair, External Hard Drive</v>
      </c>
      <c r="E942" t="str">
        <v>Consumer</v>
      </c>
      <c r="I942" t="str">
        <v>UK</v>
      </c>
    </row>
    <row r="943" spans="1:9" x14ac:dyDescent="0.35">
      <c r="A943" t="str">
        <v>Speaker, Projector, External Hard Drive, Mouse</v>
      </c>
      <c r="E943" t="str">
        <v>Consumer</v>
      </c>
      <c r="I943" t="str">
        <v>Canada</v>
      </c>
    </row>
    <row r="944" spans="1:9" x14ac:dyDescent="0.35">
      <c r="A944" t="str">
        <v>Laptop, Mouse, Desk Lamp</v>
      </c>
      <c r="E944" t="str">
        <v>Consumer</v>
      </c>
      <c r="I944" t="str">
        <v>France</v>
      </c>
    </row>
    <row r="945" spans="1:9" x14ac:dyDescent="0.35">
      <c r="A945" t="str">
        <v>Projector, Webcam, Smartphone</v>
      </c>
      <c r="E945" t="str">
        <v>Home Office</v>
      </c>
      <c r="I945" t="str">
        <v>Germany</v>
      </c>
    </row>
    <row r="946" spans="1:9" x14ac:dyDescent="0.35">
      <c r="A946" t="str">
        <v>Speaker, Router, Desk Lamp</v>
      </c>
      <c r="E946" t="str">
        <v>Home Office</v>
      </c>
      <c r="I946" t="str">
        <v>Nigeria</v>
      </c>
    </row>
    <row r="947" spans="1:9" x14ac:dyDescent="0.35">
      <c r="A947" t="str">
        <v>Desk Lamp, Mouse, Smart Watch</v>
      </c>
      <c r="E947" t="str">
        <v>Home Office</v>
      </c>
      <c r="I947" t="str">
        <v>Canada</v>
      </c>
    </row>
    <row r="948" spans="1:9" x14ac:dyDescent="0.35">
      <c r="A948" t="str">
        <v>Speaker, Desk Lamp, Smart Watch</v>
      </c>
      <c r="E948" t="str">
        <v>Home Office</v>
      </c>
      <c r="I948" t="str">
        <v>USA</v>
      </c>
    </row>
    <row r="949" spans="1:9" x14ac:dyDescent="0.35">
      <c r="A949" t="str">
        <v>Desk Chair, Projector, Smartphone, Printer, Headphones</v>
      </c>
      <c r="E949" t="str">
        <v>Corporate</v>
      </c>
      <c r="I949" t="str">
        <v>Germany</v>
      </c>
    </row>
    <row r="950" spans="1:9" x14ac:dyDescent="0.35">
      <c r="A950" t="str">
        <v>Smart Watch, Keyboard, Tablet, Speaker</v>
      </c>
      <c r="E950" t="str">
        <v>Consumer</v>
      </c>
      <c r="I950" t="str">
        <v>Brazil</v>
      </c>
    </row>
    <row r="951" spans="1:9" x14ac:dyDescent="0.35">
      <c r="A951" t="str">
        <v>Desk Chair, Headphones, Monitor</v>
      </c>
      <c r="E951" t="str">
        <v>Consumer</v>
      </c>
      <c r="I951" t="str">
        <v>Canada</v>
      </c>
    </row>
    <row r="952" spans="1:9" x14ac:dyDescent="0.35">
      <c r="A952" t="str">
        <v>Printer, Headphones, Projector, Webcam</v>
      </c>
      <c r="E952" t="str">
        <v>Home Office</v>
      </c>
      <c r="I952" t="str">
        <v>Australia</v>
      </c>
    </row>
    <row r="953" spans="1:9" x14ac:dyDescent="0.35">
      <c r="A953" t="str">
        <v>Tablet, Webcam, Monitor, External Hard Drive</v>
      </c>
      <c r="E953" t="str">
        <v>Home Office</v>
      </c>
      <c r="I953" t="str">
        <v>India</v>
      </c>
    </row>
    <row r="954" spans="1:9" x14ac:dyDescent="0.35">
      <c r="A954" t="str">
        <v>Monitor, External Hard Drive, Router, Tablet</v>
      </c>
      <c r="E954" t="str">
        <v>Consumer</v>
      </c>
      <c r="I954" t="str">
        <v>Brazil</v>
      </c>
    </row>
    <row r="955" spans="1:9" x14ac:dyDescent="0.35">
      <c r="A955" t="str">
        <v>Headphones, Laptop, Printer</v>
      </c>
      <c r="E955" t="str">
        <v>Corporate</v>
      </c>
      <c r="I955" t="str">
        <v>UK</v>
      </c>
    </row>
    <row r="956" spans="1:9" x14ac:dyDescent="0.35">
      <c r="A956" t="str">
        <v>Projector, External Hard Drive, Monitor, Printer, Router</v>
      </c>
      <c r="E956" t="str">
        <v>Corporate</v>
      </c>
      <c r="I956" t="str">
        <v>France</v>
      </c>
    </row>
    <row r="957" spans="1:9" x14ac:dyDescent="0.35">
      <c r="A957" t="str">
        <v>Laptop, Keyboard, Projector, Smart Watch</v>
      </c>
      <c r="E957" t="str">
        <v>Consumer</v>
      </c>
      <c r="I957" t="str">
        <v>UK</v>
      </c>
    </row>
    <row r="958" spans="1:9" x14ac:dyDescent="0.35">
      <c r="A958" t="str">
        <v>External Hard Drive, Laptop, Webcam, Printer</v>
      </c>
      <c r="E958" t="str">
        <v>Home Office</v>
      </c>
      <c r="I958" t="str">
        <v>Australia</v>
      </c>
    </row>
    <row r="959" spans="1:9" x14ac:dyDescent="0.35">
      <c r="A959" t="str">
        <v>Printer, External Hard Drive, Webcam</v>
      </c>
      <c r="E959" t="str">
        <v>Corporate</v>
      </c>
      <c r="I959" t="str">
        <v>UK</v>
      </c>
    </row>
    <row r="960" spans="1:9" x14ac:dyDescent="0.35">
      <c r="A960" t="str">
        <v>Keyboard, Webcam, Router, Desk Chair</v>
      </c>
      <c r="E960" t="str">
        <v>Home Office</v>
      </c>
      <c r="I960" t="str">
        <v>Japan</v>
      </c>
    </row>
    <row r="961" spans="1:9" x14ac:dyDescent="0.35">
      <c r="A961" t="str">
        <v>Headphones, Monitor, Projector, Speaker</v>
      </c>
      <c r="E961" t="str">
        <v>Home Office</v>
      </c>
      <c r="I961" t="str">
        <v>India</v>
      </c>
    </row>
    <row r="962" spans="1:9" x14ac:dyDescent="0.35">
      <c r="A962" t="str">
        <v>Keyboard, Projector, Webcam, Laptop</v>
      </c>
      <c r="E962" t="str">
        <v>Home Office</v>
      </c>
      <c r="I962" t="str">
        <v>Australia</v>
      </c>
    </row>
    <row r="963" spans="1:9" x14ac:dyDescent="0.35">
      <c r="A963" t="str">
        <v>Keyboard, Router, Desk Lamp, Mouse, Tablet</v>
      </c>
      <c r="E963" t="str">
        <v>Consumer</v>
      </c>
      <c r="I963" t="str">
        <v>Nigeria</v>
      </c>
    </row>
    <row r="964" spans="1:9" x14ac:dyDescent="0.35">
      <c r="A964" t="str">
        <v>Monitor, External Hard Drive, Printer, Projector, Keyboard</v>
      </c>
      <c r="E964" t="str">
        <v>Consumer</v>
      </c>
      <c r="I964" t="str">
        <v>Japan</v>
      </c>
    </row>
    <row r="965" spans="1:9" x14ac:dyDescent="0.35">
      <c r="A965" t="str">
        <v>Speaker, Desk Chair, Desk Lamp, Headphones, Laptop</v>
      </c>
      <c r="E965" t="str">
        <v>Corporate</v>
      </c>
      <c r="I965" t="str">
        <v>Brazil</v>
      </c>
    </row>
    <row r="966" spans="1:9" x14ac:dyDescent="0.35">
      <c r="A966" t="str">
        <v>Laptop, Monitor, External Hard Drive, Smartphone, Webcam</v>
      </c>
      <c r="E966" t="str">
        <v>Home Office</v>
      </c>
      <c r="I966" t="str">
        <v>USA</v>
      </c>
    </row>
    <row r="967" spans="1:9" x14ac:dyDescent="0.35">
      <c r="A967" t="str">
        <v>Webcam, Laptop, Projector</v>
      </c>
      <c r="E967" t="str">
        <v>Consumer</v>
      </c>
      <c r="I967" t="str">
        <v>Australia</v>
      </c>
    </row>
    <row r="968" spans="1:9" x14ac:dyDescent="0.35">
      <c r="A968" t="str">
        <v>Mouse, Smartphone, External Hard Drive, Desk Lamp</v>
      </c>
      <c r="E968" t="str">
        <v>Corporate</v>
      </c>
      <c r="I968" t="str">
        <v>France</v>
      </c>
    </row>
    <row r="969" spans="1:9" x14ac:dyDescent="0.35">
      <c r="A969" t="str">
        <v>Desk Lamp, Printer, Speaker</v>
      </c>
      <c r="E969" t="str">
        <v>Corporate</v>
      </c>
      <c r="I969" t="str">
        <v>Canada</v>
      </c>
    </row>
    <row r="970" spans="1:9" x14ac:dyDescent="0.35">
      <c r="A970" t="str">
        <v>External Hard Drive, Router, Headphones, Monitor, Keyboard</v>
      </c>
      <c r="E970" t="str">
        <v>Consumer</v>
      </c>
      <c r="I970" t="str">
        <v>UK</v>
      </c>
    </row>
    <row r="971" spans="1:9" x14ac:dyDescent="0.35">
      <c r="A971" t="str">
        <v>Webcam, Headphones, External Hard Drive, Mouse</v>
      </c>
      <c r="E971" t="str">
        <v>Consumer</v>
      </c>
      <c r="I971" t="str">
        <v>Canada</v>
      </c>
    </row>
    <row r="972" spans="1:9" x14ac:dyDescent="0.35">
      <c r="A972" t="str">
        <v>Smart Watch, Desk Chair, Printer</v>
      </c>
      <c r="E972" t="str">
        <v>Home Office</v>
      </c>
      <c r="I972" t="str">
        <v>Nigeria</v>
      </c>
    </row>
    <row r="973" spans="1:9" x14ac:dyDescent="0.35">
      <c r="A973" t="str">
        <v>Laptop, Smart Watch, Smartphone</v>
      </c>
      <c r="E973" t="str">
        <v>Consumer</v>
      </c>
      <c r="I973" t="str">
        <v>UK</v>
      </c>
    </row>
    <row r="974" spans="1:9" x14ac:dyDescent="0.35">
      <c r="A974" t="str">
        <v>Monitor, Smart Watch, Mouse</v>
      </c>
      <c r="E974" t="str">
        <v>Home Office</v>
      </c>
      <c r="I974" t="str">
        <v>Canada</v>
      </c>
    </row>
    <row r="975" spans="1:9" x14ac:dyDescent="0.35">
      <c r="A975" t="str">
        <v>Printer, External Hard Drive, Keyboard, Router</v>
      </c>
      <c r="E975" t="str">
        <v>Consumer</v>
      </c>
      <c r="I975" t="str">
        <v>Canada</v>
      </c>
    </row>
    <row r="976" spans="1:9" x14ac:dyDescent="0.35">
      <c r="A976" t="str">
        <v>Desk Lamp, Headphones, Printer, Tablet, Speaker</v>
      </c>
      <c r="E976" t="str">
        <v>Home Office</v>
      </c>
      <c r="I976" t="str">
        <v>Australia</v>
      </c>
    </row>
    <row r="977" spans="1:9" x14ac:dyDescent="0.35">
      <c r="A977" t="str">
        <v>Desk Lamp, Smart Watch, Monitor</v>
      </c>
      <c r="E977" t="str">
        <v>Corporate</v>
      </c>
      <c r="I977" t="str">
        <v>UK</v>
      </c>
    </row>
    <row r="978" spans="1:9" x14ac:dyDescent="0.35">
      <c r="A978" t="str">
        <v>External Hard Drive, Printer, Laptop, Keyboard</v>
      </c>
      <c r="E978" t="str">
        <v>Home Office</v>
      </c>
      <c r="I978" t="str">
        <v>Japan</v>
      </c>
    </row>
    <row r="979" spans="1:9" x14ac:dyDescent="0.35">
      <c r="A979" t="str">
        <v>Webcam, Laptop, External Hard Drive, Desk Lamp</v>
      </c>
      <c r="E979" t="str">
        <v>Consumer</v>
      </c>
      <c r="I979" t="str">
        <v>Japan</v>
      </c>
    </row>
    <row r="980" spans="1:9" x14ac:dyDescent="0.35">
      <c r="A980" t="str">
        <v>Headphones, Speaker, Router, Monitor, Desk Chair</v>
      </c>
      <c r="E980" t="str">
        <v>Corporate</v>
      </c>
      <c r="I980" t="str">
        <v>Australia</v>
      </c>
    </row>
    <row r="981" spans="1:9" x14ac:dyDescent="0.35">
      <c r="A981" t="str">
        <v>Router, Laptop, Webcam, Smart Watch</v>
      </c>
      <c r="E981" t="str">
        <v>Consumer</v>
      </c>
      <c r="I981" t="str">
        <v>Japan</v>
      </c>
    </row>
    <row r="982" spans="1:9" x14ac:dyDescent="0.35">
      <c r="A982" t="str">
        <v>Laptop, Projector, Printer, Desk Chair</v>
      </c>
      <c r="E982" t="str">
        <v>Home Office</v>
      </c>
      <c r="I982" t="str">
        <v>France</v>
      </c>
    </row>
    <row r="983" spans="1:9" x14ac:dyDescent="0.35">
      <c r="A983" t="str">
        <v>Projector, Desk Lamp, External Hard Drive</v>
      </c>
      <c r="E983" t="str">
        <v>Home Office</v>
      </c>
      <c r="I983" t="str">
        <v>Australia</v>
      </c>
    </row>
    <row r="984" spans="1:9" x14ac:dyDescent="0.35">
      <c r="A984" t="str">
        <v>Desk Chair, Monitor, Laptop, Speaker, Router</v>
      </c>
      <c r="E984" t="str">
        <v>Corporate</v>
      </c>
      <c r="I984" t="str">
        <v>Canada</v>
      </c>
    </row>
    <row r="985" spans="1:9" x14ac:dyDescent="0.35">
      <c r="A985" t="str">
        <v>Speaker, Tablet, Laptop, Headphones</v>
      </c>
      <c r="E985" t="str">
        <v>Corporate</v>
      </c>
      <c r="I985" t="str">
        <v>Nigeria</v>
      </c>
    </row>
    <row r="986" spans="1:9" x14ac:dyDescent="0.35">
      <c r="A986" t="str">
        <v>External Hard Drive, Webcam, Headphones, Tablet, Smart Watch</v>
      </c>
      <c r="E986" t="str">
        <v>Corporate</v>
      </c>
      <c r="I986" t="str">
        <v>India</v>
      </c>
    </row>
    <row r="987" spans="1:9" x14ac:dyDescent="0.35">
      <c r="A987" t="str">
        <v>Headphones, Desk Chair, Speaker, Mouse</v>
      </c>
      <c r="E987" t="str">
        <v>Corporate</v>
      </c>
      <c r="I987" t="str">
        <v>Brazil</v>
      </c>
    </row>
    <row r="988" spans="1:9" x14ac:dyDescent="0.35">
      <c r="A988" t="str">
        <v>Headphones, Printer, Laptop, Mouse, Speaker</v>
      </c>
      <c r="E988" t="str">
        <v>Home Office</v>
      </c>
      <c r="I988" t="str">
        <v>Japan</v>
      </c>
    </row>
    <row r="989" spans="1:9" x14ac:dyDescent="0.35">
      <c r="A989" t="str">
        <v>Desk Lamp, Router, Headphones, Speaker, Webcam</v>
      </c>
      <c r="E989" t="str">
        <v>Consumer</v>
      </c>
      <c r="I989" t="str">
        <v>Germany</v>
      </c>
    </row>
    <row r="990" spans="1:9" x14ac:dyDescent="0.35">
      <c r="A990" t="str">
        <v>Headphones, Printer, Desk Lamp, Keyboard</v>
      </c>
      <c r="E990" t="str">
        <v>Corporate</v>
      </c>
      <c r="I990" t="str">
        <v>India</v>
      </c>
    </row>
    <row r="991" spans="1:9" x14ac:dyDescent="0.35">
      <c r="A991" t="str">
        <v>Headphones, Printer, Laptop, Smartphone</v>
      </c>
      <c r="E991" t="str">
        <v>Consumer</v>
      </c>
      <c r="I991" t="str">
        <v>India</v>
      </c>
    </row>
    <row r="992" spans="1:9" x14ac:dyDescent="0.35">
      <c r="A992" t="str">
        <v>Laptop, Monitor, Speaker, Webcam, Projector</v>
      </c>
      <c r="E992" t="str">
        <v>Consumer</v>
      </c>
      <c r="I992" t="str">
        <v>Brazil</v>
      </c>
    </row>
    <row r="993" spans="1:9" x14ac:dyDescent="0.35">
      <c r="A993" t="str">
        <v>Laptop, Tablet, Desk Chair</v>
      </c>
      <c r="E993" t="str">
        <v>Home Office</v>
      </c>
      <c r="I993" t="str">
        <v>Germany</v>
      </c>
    </row>
    <row r="994" spans="1:9" x14ac:dyDescent="0.35">
      <c r="A994" t="str">
        <v>Tablet, External Hard Drive, Webcam, Projector, Smartphone</v>
      </c>
      <c r="E994" t="str">
        <v>Consumer</v>
      </c>
      <c r="I994" t="str">
        <v>Canada</v>
      </c>
    </row>
    <row r="995" spans="1:9" x14ac:dyDescent="0.35">
      <c r="A995" t="str">
        <v>External Hard Drive, Desk Chair, Laptop, Smart Watch</v>
      </c>
      <c r="E995" t="str">
        <v>Corporate</v>
      </c>
      <c r="I995" t="str">
        <v>India</v>
      </c>
    </row>
    <row r="996" spans="1:9" x14ac:dyDescent="0.35">
      <c r="A996" t="str">
        <v>Router, Printer, Headphones</v>
      </c>
      <c r="E996" t="str">
        <v>Home Office</v>
      </c>
      <c r="I996" t="str">
        <v>France</v>
      </c>
    </row>
    <row r="997" spans="1:9" x14ac:dyDescent="0.35">
      <c r="A997" t="str">
        <v>Keyboard, Tablet, Desk Lamp, Desk Chair</v>
      </c>
      <c r="E997" t="str">
        <v>Home Office</v>
      </c>
      <c r="I997" t="str">
        <v>Brazil</v>
      </c>
    </row>
    <row r="998" spans="1:9" x14ac:dyDescent="0.35">
      <c r="A998" t="str">
        <v>Smart Watch, Speaker, Printer, Keyboard</v>
      </c>
      <c r="E998" t="str">
        <v>Consumer</v>
      </c>
      <c r="I998" t="str">
        <v>Canada</v>
      </c>
    </row>
    <row r="999" spans="1:9" x14ac:dyDescent="0.35">
      <c r="A999" t="str">
        <v>Webcam, Printer, Tablet, Headphones, Smartphone</v>
      </c>
      <c r="E999" t="str">
        <v>Consumer</v>
      </c>
      <c r="I999" t="str">
        <v>Brazil</v>
      </c>
    </row>
    <row r="1000" spans="1:9" x14ac:dyDescent="0.35">
      <c r="A1000" t="str">
        <v>Desk Lamp, Router, Webcam</v>
      </c>
      <c r="E1000" t="str">
        <v>Consumer</v>
      </c>
      <c r="I1000" t="str">
        <v>Germany</v>
      </c>
    </row>
    <row r="1001" spans="1:9" x14ac:dyDescent="0.35">
      <c r="A1001" t="str">
        <v>Laptop, External Hard Drive, Desk Lamp, Desk Chair, Mouse</v>
      </c>
      <c r="E1001" t="str">
        <v>Corporate</v>
      </c>
      <c r="I1001" t="str">
        <v>Nigeria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62DA-6BC4-42E3-ADC6-70840BFB71C1}">
  <dimension ref="A1:N1001"/>
  <sheetViews>
    <sheetView tabSelected="1" workbookViewId="0">
      <selection activeCell="K2" sqref="K2"/>
    </sheetView>
  </sheetViews>
  <sheetFormatPr defaultRowHeight="14.5" x14ac:dyDescent="0.35"/>
  <cols>
    <col min="1" max="1" width="10.08984375" bestFit="1" customWidth="1"/>
    <col min="2" max="2" width="9.453125" bestFit="1" customWidth="1"/>
    <col min="3" max="3" width="9.54296875" bestFit="1" customWidth="1"/>
    <col min="4" max="4" width="13.54296875" bestFit="1" customWidth="1"/>
    <col min="6" max="6" width="10.08984375" style="7" bestFit="1" customWidth="1"/>
    <col min="9" max="9" width="9.90625" bestFit="1" customWidth="1"/>
    <col min="11" max="11" width="10.08984375" style="4" bestFit="1" customWidth="1"/>
  </cols>
  <sheetData>
    <row r="1" spans="1:14" x14ac:dyDescent="0.35">
      <c r="A1" t="s">
        <v>2393</v>
      </c>
      <c r="B1" t="s">
        <v>2394</v>
      </c>
      <c r="C1" t="s">
        <v>2395</v>
      </c>
      <c r="D1" t="s">
        <v>2396</v>
      </c>
      <c r="F1" s="7" t="s">
        <v>2398</v>
      </c>
      <c r="G1" t="s">
        <v>2399</v>
      </c>
      <c r="I1" t="s">
        <v>2400</v>
      </c>
      <c r="K1" s="4" t="s">
        <v>2401</v>
      </c>
    </row>
    <row r="2" spans="1:14" x14ac:dyDescent="0.35">
      <c r="A2" cm="1">
        <f t="array" ref="A2:A1001">SALES[Unit Price]</f>
        <v>269.10000000000002</v>
      </c>
      <c r="B2" cm="1">
        <f t="array" ref="B2:B1001">SALES[Quantity]</f>
        <v>4</v>
      </c>
      <c r="C2" cm="1">
        <f t="array" ref="C2:C1001">SALES[Discount]/100</f>
        <v>6.6799999999999998E-2</v>
      </c>
      <c r="D2" cm="1">
        <f t="array" ref="D2:D1001">SALES[Shipping Cost]</f>
        <v>67.88</v>
      </c>
      <c r="F2" s="7">
        <f>($A2*$B2)*(1-$C2)</f>
        <v>1004.4964800000001</v>
      </c>
      <c r="G2" s="8">
        <f>D2+(A2*B2*C2)</f>
        <v>139.78352000000001</v>
      </c>
      <c r="I2" t="str" cm="1">
        <f t="array" ref="I2:I1001">TEXT(SALES[Order Date],"mm-mmm")</f>
        <v>11-Nov</v>
      </c>
      <c r="J2" t="str" cm="1">
        <f t="array" ref="J2:J13">TEXT(_xlfn._xlws.SORT(_xlfn.UNIQUE(_xlfn.ANCHORARRAY(I2))),"mmm")</f>
        <v>Jan</v>
      </c>
      <c r="K2" s="4" t="e" cm="1">
        <f t="array" ref="K2">IFERROR(MEDIAN(IF((SALES[Product Name]=PRODUCT)*(SALES[Customer Segment]=CS)*(SALES[Region]=REGION)*(MONTH(SALES[Order Date])=$J2),
       $F$2:$F$1001 )),NA())</f>
        <v>#N/A</v>
      </c>
      <c r="L2" t="b" cm="1">
        <f t="array" ref="L2:L1001">TEXT(SALES[Order Date], "mmm")=J2</f>
        <v>0</v>
      </c>
      <c r="N2" t="b" cm="1">
        <f t="array" ref="N2:N1001">MONTH(SALES[Order Date])=$J2</f>
        <v>0</v>
      </c>
    </row>
    <row r="3" spans="1:14" x14ac:dyDescent="0.35">
      <c r="A3">
        <v>179.19</v>
      </c>
      <c r="B3">
        <v>3</v>
      </c>
      <c r="C3">
        <v>0.44119999999999998</v>
      </c>
      <c r="D3">
        <v>35.85</v>
      </c>
      <c r="F3" s="7">
        <f t="shared" ref="F3:F66" si="0">($A3*$B3)*(1-$C3)</f>
        <v>300.39411599999994</v>
      </c>
      <c r="G3" s="8">
        <f t="shared" ref="G3:G66" si="1">D3+(A3*B3*C3)</f>
        <v>273.02588399999996</v>
      </c>
      <c r="I3" t="str">
        <v>09-Sep</v>
      </c>
      <c r="J3" t="str">
        <v>Feb</v>
      </c>
      <c r="K3" s="4" t="e" cm="1">
        <f t="array" ref="K3">MEDIAN(IF((SALES[Product Name]=PRODUCT)*(SALES[Customer Segment]=CS)*(SALES[Region]=REGION)*(TEXT(SALES[Order Date], "mmm")=$J3),
        $F$2:$F$1001))</f>
        <v>#NUM!</v>
      </c>
      <c r="L3" t="b">
        <v>0</v>
      </c>
      <c r="N3" t="b">
        <v>0</v>
      </c>
    </row>
    <row r="4" spans="1:14" x14ac:dyDescent="0.35">
      <c r="A4">
        <v>187.5</v>
      </c>
      <c r="B4">
        <v>5</v>
      </c>
      <c r="C4">
        <v>0.42060000000000003</v>
      </c>
      <c r="D4">
        <v>44.72</v>
      </c>
      <c r="F4" s="7">
        <f t="shared" si="0"/>
        <v>543.18749999999989</v>
      </c>
      <c r="G4" s="8">
        <f t="shared" si="1"/>
        <v>439.03250000000003</v>
      </c>
      <c r="I4" t="str">
        <v>10-Oct</v>
      </c>
      <c r="J4" t="str">
        <v>Mar</v>
      </c>
      <c r="K4" s="4" t="e" cm="1">
        <f t="array" ref="K4">MEDIAN(IF((SALES[Product Name]=PRODUCT)*(SALES[Customer Segment]=CS)*(SALES[Region]=REGION)*(TEXT(SALES[Order Date], "mmm")=$J4),
        $F$2:$F$1001))</f>
        <v>#NUM!</v>
      </c>
      <c r="L4" t="b">
        <v>0</v>
      </c>
      <c r="N4" t="b">
        <v>0</v>
      </c>
    </row>
    <row r="5" spans="1:14" x14ac:dyDescent="0.35">
      <c r="A5">
        <v>441.43</v>
      </c>
      <c r="B5">
        <v>5</v>
      </c>
      <c r="C5">
        <v>9.5899999999999999E-2</v>
      </c>
      <c r="D5">
        <v>89.03</v>
      </c>
      <c r="F5" s="7">
        <f t="shared" si="0"/>
        <v>1995.4843150000002</v>
      </c>
      <c r="G5" s="8">
        <f t="shared" si="1"/>
        <v>300.69568500000003</v>
      </c>
      <c r="I5" t="str">
        <v>01-Jan</v>
      </c>
      <c r="J5" t="str">
        <v>Apr</v>
      </c>
      <c r="K5" s="4" t="e" cm="1">
        <f t="array" ref="K5">MEDIAN(IF((SALES[Product Name]=PRODUCT)*(SALES[Customer Segment]=CS)*(SALES[Region]=REGION)*(TEXT(SALES[Order Date], "mmm")=$J5),
        $F$2:$F$1001,NA()))</f>
        <v>#N/A</v>
      </c>
      <c r="L5" t="b">
        <v>1</v>
      </c>
      <c r="N5" t="b">
        <v>0</v>
      </c>
    </row>
    <row r="6" spans="1:14" x14ac:dyDescent="0.35">
      <c r="A6">
        <v>416.22</v>
      </c>
      <c r="B6">
        <v>4</v>
      </c>
      <c r="C6">
        <v>0.2082</v>
      </c>
      <c r="D6">
        <v>11.15</v>
      </c>
      <c r="F6" s="7">
        <f t="shared" si="0"/>
        <v>1318.2519840000002</v>
      </c>
      <c r="G6" s="8">
        <f t="shared" si="1"/>
        <v>357.77801599999998</v>
      </c>
      <c r="I6" t="str">
        <v>04-Apr</v>
      </c>
      <c r="J6" t="str">
        <v>May</v>
      </c>
      <c r="K6" s="4" t="e" cm="1">
        <f t="array" ref="K6">MEDIAN(IF((SALES[Product Name]=PRODUCT)*(SALES[Customer Segment]=CS)*(SALES[Region]=REGION)*(TEXT(SALES[Order Date], "mmm")=$J6),
        $F$2:$F$1001,NA()))</f>
        <v>#N/A</v>
      </c>
      <c r="L6" t="b">
        <v>0</v>
      </c>
      <c r="N6" t="b">
        <v>0</v>
      </c>
    </row>
    <row r="7" spans="1:14" x14ac:dyDescent="0.35">
      <c r="A7">
        <v>364.67</v>
      </c>
      <c r="B7">
        <v>5</v>
      </c>
      <c r="C7">
        <v>0.39130000000000004</v>
      </c>
      <c r="D7">
        <v>56.89</v>
      </c>
      <c r="F7" s="7">
        <f t="shared" si="0"/>
        <v>1109.873145</v>
      </c>
      <c r="G7" s="8">
        <f t="shared" si="1"/>
        <v>770.3668550000001</v>
      </c>
      <c r="I7" t="str">
        <v>06-Jun</v>
      </c>
      <c r="J7" t="str">
        <v>Jun</v>
      </c>
      <c r="K7" s="4" t="e" cm="1">
        <f t="array" ref="K7">MEDIAN(IF((SALES[Product Name]=PRODUCT)*(SALES[Customer Segment]=CS)*(SALES[Region]=REGION)*(TEXT(SALES[Order Date], "mmm")=$J7),
        $F$2:$F$1001,NA()))</f>
        <v>#N/A</v>
      </c>
      <c r="L7" t="b">
        <v>0</v>
      </c>
      <c r="N7" t="b">
        <v>0</v>
      </c>
    </row>
    <row r="8" spans="1:14" x14ac:dyDescent="0.35">
      <c r="A8">
        <v>262.08</v>
      </c>
      <c r="B8">
        <v>4</v>
      </c>
      <c r="C8">
        <v>0.47950000000000004</v>
      </c>
      <c r="D8">
        <v>57.46</v>
      </c>
      <c r="F8" s="7">
        <f t="shared" si="0"/>
        <v>545.65055999999993</v>
      </c>
      <c r="G8" s="8">
        <f t="shared" si="1"/>
        <v>560.12944000000005</v>
      </c>
      <c r="I8" t="str">
        <v>02-Feb</v>
      </c>
      <c r="J8" t="str">
        <v>Jul</v>
      </c>
      <c r="K8" s="4" t="e" cm="1">
        <f t="array" ref="K8">MEDIAN(IF((SALES[Product Name]=PRODUCT)*(SALES[Customer Segment]=CS)*(SALES[Region]=REGION)*(TEXT(SALES[Order Date], "mmm")=$J8),
        $F$2:$F$1001,NA()))</f>
        <v>#N/A</v>
      </c>
      <c r="L8" t="b">
        <v>0</v>
      </c>
      <c r="N8" t="b">
        <v>0</v>
      </c>
    </row>
    <row r="9" spans="1:14" x14ac:dyDescent="0.35">
      <c r="A9">
        <v>386.31</v>
      </c>
      <c r="B9">
        <v>5</v>
      </c>
      <c r="C9">
        <v>0.42680000000000001</v>
      </c>
      <c r="D9">
        <v>51.49</v>
      </c>
      <c r="F9" s="7">
        <f t="shared" si="0"/>
        <v>1107.1644599999997</v>
      </c>
      <c r="G9" s="8">
        <f t="shared" si="1"/>
        <v>875.87554</v>
      </c>
      <c r="I9" t="str">
        <v>08-Aug</v>
      </c>
      <c r="J9" t="str">
        <v>Aug</v>
      </c>
      <c r="K9" s="4" t="e" cm="1">
        <f t="array" ref="K9">MEDIAN(IF((SALES[Product Name]=PRODUCT)*(SALES[Customer Segment]=CS)*(SALES[Region]=REGION)*(TEXT(SALES[Order Date], "mmm")=$J9),
        $F$2:$F$1001,NA()))</f>
        <v>#N/A</v>
      </c>
      <c r="L9" t="b">
        <v>0</v>
      </c>
      <c r="N9" t="b">
        <v>0</v>
      </c>
    </row>
    <row r="10" spans="1:14" x14ac:dyDescent="0.35">
      <c r="A10">
        <v>185.56</v>
      </c>
      <c r="B10">
        <v>4</v>
      </c>
      <c r="C10">
        <v>0.16370000000000001</v>
      </c>
      <c r="D10">
        <v>41.68</v>
      </c>
      <c r="F10" s="7">
        <f t="shared" si="0"/>
        <v>620.73531200000002</v>
      </c>
      <c r="G10" s="8">
        <f t="shared" si="1"/>
        <v>163.18468800000002</v>
      </c>
      <c r="I10" t="str">
        <v>03-Mar</v>
      </c>
      <c r="J10" t="str">
        <v>Sep</v>
      </c>
      <c r="K10" s="4" t="e" cm="1">
        <f t="array" ref="K10">MEDIAN(IF((SALES[Product Name]=PRODUCT)*(SALES[Customer Segment]=CS)*(SALES[Region]=REGION)*(TEXT(SALES[Order Date], "mmm")=$J10),
        $F$2:$F$1001,NA()))</f>
        <v>#N/A</v>
      </c>
      <c r="L10" t="b">
        <v>0</v>
      </c>
      <c r="N10" t="b">
        <v>0</v>
      </c>
    </row>
    <row r="11" spans="1:14" x14ac:dyDescent="0.35">
      <c r="A11">
        <v>310.89</v>
      </c>
      <c r="B11">
        <v>5</v>
      </c>
      <c r="C11">
        <v>2.2799999999999997E-2</v>
      </c>
      <c r="D11">
        <v>14.34</v>
      </c>
      <c r="F11" s="7">
        <f t="shared" si="0"/>
        <v>1519.0085399999998</v>
      </c>
      <c r="G11" s="8">
        <f t="shared" si="1"/>
        <v>49.781459999999996</v>
      </c>
      <c r="I11" t="str">
        <v>07-Jul</v>
      </c>
      <c r="J11" t="str">
        <v>Oct</v>
      </c>
      <c r="K11" s="4" t="e" cm="1">
        <f t="array" ref="K11">MEDIAN(IF((SALES[Product Name]=PRODUCT)*(SALES[Customer Segment]=CS)*(SALES[Region]=REGION)*(TEXT(SALES[Order Date], "mmm")=$J11),
        $F$2:$F$1001,NA()))</f>
        <v>#N/A</v>
      </c>
      <c r="L11" t="b">
        <v>0</v>
      </c>
      <c r="N11" t="b">
        <v>0</v>
      </c>
    </row>
    <row r="12" spans="1:14" x14ac:dyDescent="0.35">
      <c r="A12">
        <v>50.25</v>
      </c>
      <c r="B12">
        <v>3</v>
      </c>
      <c r="C12">
        <v>0.1459</v>
      </c>
      <c r="D12">
        <v>80.09</v>
      </c>
      <c r="F12" s="7">
        <f t="shared" si="0"/>
        <v>128.75557499999999</v>
      </c>
      <c r="G12" s="8">
        <f t="shared" si="1"/>
        <v>102.08442500000001</v>
      </c>
      <c r="I12" t="str">
        <v>01-Jan</v>
      </c>
      <c r="J12" t="str">
        <v>Nov</v>
      </c>
      <c r="K12" s="4" t="e" cm="1">
        <f t="array" ref="K12">MEDIAN(IF((SALES[Product Name]=PRODUCT)*(SALES[Customer Segment]=CS)*(SALES[Region]=REGION)*(TEXT(SALES[Order Date], "mmm")=$J12),
        $F$2:$F$1001,NA()))</f>
        <v>#N/A</v>
      </c>
      <c r="L12" t="b">
        <v>1</v>
      </c>
      <c r="N12" t="b">
        <v>0</v>
      </c>
    </row>
    <row r="13" spans="1:14" x14ac:dyDescent="0.35">
      <c r="A13">
        <v>393.11</v>
      </c>
      <c r="B13">
        <v>5</v>
      </c>
      <c r="C13">
        <v>7.17E-2</v>
      </c>
      <c r="D13">
        <v>96.13</v>
      </c>
      <c r="F13" s="7">
        <f t="shared" si="0"/>
        <v>1824.6200650000003</v>
      </c>
      <c r="G13" s="8">
        <f t="shared" si="1"/>
        <v>237.059935</v>
      </c>
      <c r="I13" t="str">
        <v>04-Apr</v>
      </c>
      <c r="J13" t="str">
        <v>Dec</v>
      </c>
      <c r="K13" s="4" t="e" cm="1">
        <f t="array" ref="K13">MEDIAN(IF((SALES[Product Name]=PRODUCT)*(SALES[Customer Segment]=CS)*(SALES[Region]=REGION)*(TEXT(SALES[Order Date], "mmm")=$J13),
        $F$2:$F$1001,NA()))</f>
        <v>#N/A</v>
      </c>
      <c r="L13" t="b">
        <v>0</v>
      </c>
      <c r="N13" t="b">
        <v>0</v>
      </c>
    </row>
    <row r="14" spans="1:14" x14ac:dyDescent="0.35">
      <c r="A14">
        <v>395.19</v>
      </c>
      <c r="B14">
        <v>4</v>
      </c>
      <c r="C14">
        <v>0.1231</v>
      </c>
      <c r="D14">
        <v>63.63</v>
      </c>
      <c r="F14" s="7">
        <f t="shared" si="0"/>
        <v>1386.1684439999999</v>
      </c>
      <c r="G14" s="8">
        <f t="shared" si="1"/>
        <v>258.22155600000002</v>
      </c>
      <c r="I14" t="str">
        <v>11-Nov</v>
      </c>
      <c r="L14" t="b">
        <v>0</v>
      </c>
      <c r="N14" t="b">
        <v>0</v>
      </c>
    </row>
    <row r="15" spans="1:14" x14ac:dyDescent="0.35">
      <c r="A15">
        <v>93.97</v>
      </c>
      <c r="B15">
        <v>3</v>
      </c>
      <c r="C15">
        <v>9.9299999999999999E-2</v>
      </c>
      <c r="D15">
        <v>41.63</v>
      </c>
      <c r="F15" s="7">
        <f t="shared" si="0"/>
        <v>253.916337</v>
      </c>
      <c r="G15" s="8">
        <f t="shared" si="1"/>
        <v>69.623662999999993</v>
      </c>
      <c r="I15" t="str">
        <v>09-Sep</v>
      </c>
      <c r="L15" t="b">
        <v>0</v>
      </c>
      <c r="N15" t="b">
        <v>0</v>
      </c>
    </row>
    <row r="16" spans="1:14" x14ac:dyDescent="0.35">
      <c r="A16">
        <v>299.38</v>
      </c>
      <c r="B16">
        <v>4</v>
      </c>
      <c r="C16">
        <v>0.4194</v>
      </c>
      <c r="D16">
        <v>90.63</v>
      </c>
      <c r="F16" s="7">
        <f t="shared" si="0"/>
        <v>695.28011200000003</v>
      </c>
      <c r="G16" s="8">
        <f t="shared" si="1"/>
        <v>592.86988799999995</v>
      </c>
      <c r="I16" t="str">
        <v>06-Jun</v>
      </c>
      <c r="L16" t="b">
        <v>0</v>
      </c>
      <c r="N16" t="b">
        <v>0</v>
      </c>
    </row>
    <row r="17" spans="1:14" x14ac:dyDescent="0.35">
      <c r="A17">
        <v>286.45</v>
      </c>
      <c r="B17">
        <v>3</v>
      </c>
      <c r="C17">
        <v>0.37689999999999996</v>
      </c>
      <c r="D17">
        <v>46.75</v>
      </c>
      <c r="F17" s="7">
        <f t="shared" si="0"/>
        <v>535.46098499999994</v>
      </c>
      <c r="G17" s="8">
        <f t="shared" si="1"/>
        <v>370.63901499999992</v>
      </c>
      <c r="I17" t="str">
        <v>04-Apr</v>
      </c>
      <c r="L17" t="b">
        <v>0</v>
      </c>
      <c r="N17" t="b">
        <v>0</v>
      </c>
    </row>
    <row r="18" spans="1:14" x14ac:dyDescent="0.35">
      <c r="A18">
        <v>281.63</v>
      </c>
      <c r="B18">
        <v>4</v>
      </c>
      <c r="C18">
        <v>0.33409999999999995</v>
      </c>
      <c r="D18">
        <v>23.95</v>
      </c>
      <c r="F18" s="7">
        <f t="shared" si="0"/>
        <v>750.14966800000002</v>
      </c>
      <c r="G18" s="8">
        <f t="shared" si="1"/>
        <v>400.32033199999995</v>
      </c>
      <c r="I18" t="str">
        <v>10-Oct</v>
      </c>
      <c r="L18" t="b">
        <v>0</v>
      </c>
      <c r="N18" t="b">
        <v>0</v>
      </c>
    </row>
    <row r="19" spans="1:14" x14ac:dyDescent="0.35">
      <c r="A19">
        <v>90.67</v>
      </c>
      <c r="B19">
        <v>5</v>
      </c>
      <c r="C19">
        <v>0.49090000000000006</v>
      </c>
      <c r="D19">
        <v>44.09</v>
      </c>
      <c r="F19" s="7">
        <f t="shared" si="0"/>
        <v>230.80048499999995</v>
      </c>
      <c r="G19" s="8">
        <f t="shared" si="1"/>
        <v>266.63951500000007</v>
      </c>
      <c r="I19" t="str">
        <v>07-Jul</v>
      </c>
      <c r="L19" t="b">
        <v>0</v>
      </c>
      <c r="N19" t="b">
        <v>0</v>
      </c>
    </row>
    <row r="20" spans="1:14" x14ac:dyDescent="0.35">
      <c r="A20">
        <v>64.06</v>
      </c>
      <c r="B20">
        <v>4</v>
      </c>
      <c r="C20">
        <v>0.16570000000000001</v>
      </c>
      <c r="D20">
        <v>78.900000000000006</v>
      </c>
      <c r="F20" s="7">
        <f t="shared" si="0"/>
        <v>213.78103200000001</v>
      </c>
      <c r="G20" s="8">
        <f t="shared" si="1"/>
        <v>121.358968</v>
      </c>
      <c r="I20" t="str">
        <v>02-Feb</v>
      </c>
      <c r="L20" t="b">
        <v>0</v>
      </c>
      <c r="N20" t="b">
        <v>0</v>
      </c>
    </row>
    <row r="21" spans="1:14" x14ac:dyDescent="0.35">
      <c r="A21">
        <v>112.15</v>
      </c>
      <c r="B21">
        <v>3</v>
      </c>
      <c r="C21">
        <v>0.38400000000000001</v>
      </c>
      <c r="D21">
        <v>47.39</v>
      </c>
      <c r="F21" s="7">
        <f t="shared" si="0"/>
        <v>207.25320000000002</v>
      </c>
      <c r="G21" s="8">
        <f t="shared" si="1"/>
        <v>176.58680000000004</v>
      </c>
      <c r="I21" t="str">
        <v>11-Nov</v>
      </c>
      <c r="L21" t="b">
        <v>0</v>
      </c>
      <c r="N21" t="b">
        <v>0</v>
      </c>
    </row>
    <row r="22" spans="1:14" x14ac:dyDescent="0.35">
      <c r="A22">
        <v>413.91</v>
      </c>
      <c r="B22">
        <v>3</v>
      </c>
      <c r="C22">
        <v>0.31109999999999999</v>
      </c>
      <c r="D22">
        <v>65.989999999999995</v>
      </c>
      <c r="F22" s="7">
        <f t="shared" si="0"/>
        <v>855.42779700000006</v>
      </c>
      <c r="G22" s="8">
        <f t="shared" si="1"/>
        <v>452.29220299999997</v>
      </c>
      <c r="I22" t="str">
        <v>07-Jul</v>
      </c>
      <c r="L22" t="b">
        <v>0</v>
      </c>
      <c r="N22" t="b">
        <v>0</v>
      </c>
    </row>
    <row r="23" spans="1:14" x14ac:dyDescent="0.35">
      <c r="A23">
        <v>460.97</v>
      </c>
      <c r="B23">
        <v>5</v>
      </c>
      <c r="C23">
        <v>0.23680000000000001</v>
      </c>
      <c r="D23">
        <v>64.78</v>
      </c>
      <c r="F23" s="7">
        <f t="shared" si="0"/>
        <v>1759.0615200000002</v>
      </c>
      <c r="G23" s="8">
        <f t="shared" si="1"/>
        <v>610.56848000000014</v>
      </c>
      <c r="I23" t="str">
        <v>12-Dec</v>
      </c>
      <c r="L23" t="b">
        <v>0</v>
      </c>
      <c r="N23" t="b">
        <v>0</v>
      </c>
    </row>
    <row r="24" spans="1:14" x14ac:dyDescent="0.35">
      <c r="A24">
        <v>349.54</v>
      </c>
      <c r="B24">
        <v>3</v>
      </c>
      <c r="C24">
        <v>0.25069999999999998</v>
      </c>
      <c r="D24">
        <v>32.33</v>
      </c>
      <c r="F24" s="7">
        <f t="shared" si="0"/>
        <v>785.73096600000019</v>
      </c>
      <c r="G24" s="8">
        <f t="shared" si="1"/>
        <v>295.21903399999997</v>
      </c>
      <c r="I24" t="str">
        <v>12-Dec</v>
      </c>
      <c r="L24" t="b">
        <v>0</v>
      </c>
      <c r="N24" t="b">
        <v>0</v>
      </c>
    </row>
    <row r="25" spans="1:14" x14ac:dyDescent="0.35">
      <c r="A25">
        <v>462.85</v>
      </c>
      <c r="B25">
        <v>5</v>
      </c>
      <c r="C25">
        <v>8.0199999999999994E-2</v>
      </c>
      <c r="D25">
        <v>61.28</v>
      </c>
      <c r="F25" s="7">
        <f t="shared" si="0"/>
        <v>2128.6471499999998</v>
      </c>
      <c r="G25" s="8">
        <f t="shared" si="1"/>
        <v>246.88284999999999</v>
      </c>
      <c r="I25" t="str">
        <v>06-Jun</v>
      </c>
      <c r="L25" t="b">
        <v>0</v>
      </c>
      <c r="N25" t="b">
        <v>0</v>
      </c>
    </row>
    <row r="26" spans="1:14" x14ac:dyDescent="0.35">
      <c r="A26">
        <v>321.77</v>
      </c>
      <c r="B26">
        <v>3</v>
      </c>
      <c r="C26">
        <v>0.34920000000000001</v>
      </c>
      <c r="D26">
        <v>32.47</v>
      </c>
      <c r="F26" s="7">
        <f t="shared" si="0"/>
        <v>628.223748</v>
      </c>
      <c r="G26" s="8">
        <f t="shared" si="1"/>
        <v>369.55625199999997</v>
      </c>
      <c r="I26" t="str">
        <v>07-Jul</v>
      </c>
      <c r="L26" t="b">
        <v>0</v>
      </c>
      <c r="N26" t="b">
        <v>0</v>
      </c>
    </row>
    <row r="27" spans="1:14" x14ac:dyDescent="0.35">
      <c r="A27">
        <v>268</v>
      </c>
      <c r="B27">
        <v>5</v>
      </c>
      <c r="C27">
        <v>0.30249999999999999</v>
      </c>
      <c r="D27">
        <v>47.57</v>
      </c>
      <c r="F27" s="7">
        <f t="shared" si="0"/>
        <v>934.65</v>
      </c>
      <c r="G27" s="8">
        <f t="shared" si="1"/>
        <v>452.91999999999996</v>
      </c>
      <c r="I27" t="str">
        <v>07-Jul</v>
      </c>
      <c r="L27" t="b">
        <v>0</v>
      </c>
      <c r="N27" t="b">
        <v>0</v>
      </c>
    </row>
    <row r="28" spans="1:14" x14ac:dyDescent="0.35">
      <c r="A28">
        <v>257.62</v>
      </c>
      <c r="B28">
        <v>5</v>
      </c>
      <c r="C28">
        <v>0.30499999999999999</v>
      </c>
      <c r="D28">
        <v>64.290000000000006</v>
      </c>
      <c r="F28" s="7">
        <f t="shared" si="0"/>
        <v>895.22950000000003</v>
      </c>
      <c r="G28" s="8">
        <f t="shared" si="1"/>
        <v>457.16049999999996</v>
      </c>
      <c r="I28" t="str">
        <v>01-Jan</v>
      </c>
      <c r="L28" t="b">
        <v>1</v>
      </c>
      <c r="N28" t="b">
        <v>0</v>
      </c>
    </row>
    <row r="29" spans="1:14" x14ac:dyDescent="0.35">
      <c r="A29">
        <v>233.87</v>
      </c>
      <c r="B29">
        <v>4</v>
      </c>
      <c r="C29">
        <v>0.1211</v>
      </c>
      <c r="D29">
        <v>99.92</v>
      </c>
      <c r="F29" s="7">
        <f t="shared" si="0"/>
        <v>822.19337200000007</v>
      </c>
      <c r="G29" s="8">
        <f t="shared" si="1"/>
        <v>213.20662800000002</v>
      </c>
      <c r="I29" t="str">
        <v>10-Oct</v>
      </c>
      <c r="L29" t="b">
        <v>0</v>
      </c>
      <c r="N29" t="b">
        <v>0</v>
      </c>
    </row>
    <row r="30" spans="1:14" x14ac:dyDescent="0.35">
      <c r="A30">
        <v>397.35</v>
      </c>
      <c r="B30">
        <v>3</v>
      </c>
      <c r="C30">
        <v>0.40590000000000004</v>
      </c>
      <c r="D30">
        <v>21.48</v>
      </c>
      <c r="F30" s="7">
        <f t="shared" si="0"/>
        <v>708.19690500000002</v>
      </c>
      <c r="G30" s="8">
        <f t="shared" si="1"/>
        <v>505.33309500000013</v>
      </c>
      <c r="I30" t="str">
        <v>03-Mar</v>
      </c>
      <c r="L30" t="b">
        <v>0</v>
      </c>
      <c r="N30" t="b">
        <v>0</v>
      </c>
    </row>
    <row r="31" spans="1:14" x14ac:dyDescent="0.35">
      <c r="A31">
        <v>393.73</v>
      </c>
      <c r="B31">
        <v>5</v>
      </c>
      <c r="C31">
        <v>0.31900000000000001</v>
      </c>
      <c r="D31">
        <v>46.13</v>
      </c>
      <c r="F31" s="7">
        <f t="shared" si="0"/>
        <v>1340.6506500000003</v>
      </c>
      <c r="G31" s="8">
        <f t="shared" si="1"/>
        <v>674.12935000000004</v>
      </c>
      <c r="I31" t="str">
        <v>04-Apr</v>
      </c>
      <c r="L31" t="b">
        <v>0</v>
      </c>
      <c r="N31" t="b">
        <v>0</v>
      </c>
    </row>
    <row r="32" spans="1:14" x14ac:dyDescent="0.35">
      <c r="A32">
        <v>70.66</v>
      </c>
      <c r="B32">
        <v>3</v>
      </c>
      <c r="C32">
        <v>0.4335</v>
      </c>
      <c r="D32">
        <v>82.06</v>
      </c>
      <c r="F32" s="7">
        <f t="shared" si="0"/>
        <v>120.08667</v>
      </c>
      <c r="G32" s="8">
        <f t="shared" si="1"/>
        <v>173.95332999999999</v>
      </c>
      <c r="I32" t="str">
        <v>08-Aug</v>
      </c>
      <c r="L32" t="b">
        <v>0</v>
      </c>
      <c r="N32" t="b">
        <v>0</v>
      </c>
    </row>
    <row r="33" spans="1:14" x14ac:dyDescent="0.35">
      <c r="A33">
        <v>90.48</v>
      </c>
      <c r="B33">
        <v>5</v>
      </c>
      <c r="C33">
        <v>0.10349999999999999</v>
      </c>
      <c r="D33">
        <v>23.48</v>
      </c>
      <c r="F33" s="7">
        <f t="shared" si="0"/>
        <v>405.57660000000004</v>
      </c>
      <c r="G33" s="8">
        <f t="shared" si="1"/>
        <v>70.303399999999996</v>
      </c>
      <c r="I33" t="str">
        <v>08-Aug</v>
      </c>
      <c r="L33" t="b">
        <v>0</v>
      </c>
      <c r="N33" t="b">
        <v>0</v>
      </c>
    </row>
    <row r="34" spans="1:14" x14ac:dyDescent="0.35">
      <c r="A34">
        <v>121.66</v>
      </c>
      <c r="B34">
        <v>5</v>
      </c>
      <c r="C34">
        <v>7.9299999999999995E-2</v>
      </c>
      <c r="D34">
        <v>55.67</v>
      </c>
      <c r="F34" s="7">
        <f t="shared" si="0"/>
        <v>560.06180999999992</v>
      </c>
      <c r="G34" s="8">
        <f t="shared" si="1"/>
        <v>103.90818999999999</v>
      </c>
      <c r="I34" t="str">
        <v>04-Apr</v>
      </c>
      <c r="L34" t="b">
        <v>0</v>
      </c>
      <c r="N34" t="b">
        <v>0</v>
      </c>
    </row>
    <row r="35" spans="1:14" x14ac:dyDescent="0.35">
      <c r="A35">
        <v>335.25</v>
      </c>
      <c r="B35">
        <v>5</v>
      </c>
      <c r="C35">
        <v>0.11019999999999999</v>
      </c>
      <c r="D35">
        <v>20.97</v>
      </c>
      <c r="F35" s="7">
        <f t="shared" si="0"/>
        <v>1491.5272500000001</v>
      </c>
      <c r="G35" s="8">
        <f t="shared" si="1"/>
        <v>205.69274999999999</v>
      </c>
      <c r="I35" t="str">
        <v>05-May</v>
      </c>
      <c r="L35" t="b">
        <v>0</v>
      </c>
      <c r="N35" t="b">
        <v>0</v>
      </c>
    </row>
    <row r="36" spans="1:14" x14ac:dyDescent="0.35">
      <c r="A36">
        <v>61.15</v>
      </c>
      <c r="B36">
        <v>3</v>
      </c>
      <c r="C36">
        <v>0.3664</v>
      </c>
      <c r="D36">
        <v>94.42</v>
      </c>
      <c r="F36" s="7">
        <f t="shared" si="0"/>
        <v>116.23391999999998</v>
      </c>
      <c r="G36" s="8">
        <f t="shared" si="1"/>
        <v>161.63607999999999</v>
      </c>
      <c r="I36" t="str">
        <v>09-Sep</v>
      </c>
      <c r="L36" t="b">
        <v>0</v>
      </c>
      <c r="N36" t="b">
        <v>0</v>
      </c>
    </row>
    <row r="37" spans="1:14" x14ac:dyDescent="0.35">
      <c r="A37">
        <v>409.15</v>
      </c>
      <c r="B37">
        <v>3</v>
      </c>
      <c r="C37">
        <v>0.32659999999999995</v>
      </c>
      <c r="D37">
        <v>21.74</v>
      </c>
      <c r="F37" s="7">
        <f t="shared" si="0"/>
        <v>826.56482999999992</v>
      </c>
      <c r="G37" s="8">
        <f t="shared" si="1"/>
        <v>422.62516999999986</v>
      </c>
      <c r="I37" t="str">
        <v>12-Dec</v>
      </c>
      <c r="L37" t="b">
        <v>0</v>
      </c>
      <c r="N37" t="b">
        <v>0</v>
      </c>
    </row>
    <row r="38" spans="1:14" x14ac:dyDescent="0.35">
      <c r="A38">
        <v>342.55</v>
      </c>
      <c r="B38">
        <v>3</v>
      </c>
      <c r="C38">
        <v>0.4793</v>
      </c>
      <c r="D38">
        <v>55.87</v>
      </c>
      <c r="F38" s="7">
        <f t="shared" si="0"/>
        <v>535.09735499999999</v>
      </c>
      <c r="G38" s="8">
        <f t="shared" si="1"/>
        <v>548.42264499999999</v>
      </c>
      <c r="I38" t="str">
        <v>04-Apr</v>
      </c>
      <c r="L38" t="b">
        <v>0</v>
      </c>
      <c r="N38" t="b">
        <v>0</v>
      </c>
    </row>
    <row r="39" spans="1:14" x14ac:dyDescent="0.35">
      <c r="A39">
        <v>79.16</v>
      </c>
      <c r="B39">
        <v>4</v>
      </c>
      <c r="C39">
        <v>0.48909999999999998</v>
      </c>
      <c r="D39">
        <v>48.31</v>
      </c>
      <c r="F39" s="7">
        <f t="shared" si="0"/>
        <v>161.771376</v>
      </c>
      <c r="G39" s="8">
        <f t="shared" si="1"/>
        <v>203.17862399999999</v>
      </c>
      <c r="I39" t="str">
        <v>01-Jan</v>
      </c>
      <c r="L39" t="b">
        <v>1</v>
      </c>
      <c r="N39" t="b">
        <v>0</v>
      </c>
    </row>
    <row r="40" spans="1:14" x14ac:dyDescent="0.35">
      <c r="A40">
        <v>192.16</v>
      </c>
      <c r="B40">
        <v>5</v>
      </c>
      <c r="C40">
        <v>0.26649999999999996</v>
      </c>
      <c r="D40">
        <v>61.26</v>
      </c>
      <c r="F40" s="7">
        <f t="shared" si="0"/>
        <v>704.74680000000001</v>
      </c>
      <c r="G40" s="8">
        <f t="shared" si="1"/>
        <v>317.31319999999994</v>
      </c>
      <c r="I40" t="str">
        <v>05-May</v>
      </c>
      <c r="L40" t="b">
        <v>0</v>
      </c>
      <c r="N40" t="b">
        <v>0</v>
      </c>
    </row>
    <row r="41" spans="1:14" x14ac:dyDescent="0.35">
      <c r="A41">
        <v>403</v>
      </c>
      <c r="B41">
        <v>5</v>
      </c>
      <c r="C41">
        <v>0.48960000000000004</v>
      </c>
      <c r="D41">
        <v>16.63</v>
      </c>
      <c r="F41" s="7">
        <f t="shared" si="0"/>
        <v>1028.4559999999999</v>
      </c>
      <c r="G41" s="8">
        <f t="shared" si="1"/>
        <v>1003.1740000000001</v>
      </c>
      <c r="I41" t="str">
        <v>12-Dec</v>
      </c>
      <c r="L41" t="b">
        <v>0</v>
      </c>
      <c r="N41" t="b">
        <v>0</v>
      </c>
    </row>
    <row r="42" spans="1:14" x14ac:dyDescent="0.35">
      <c r="A42">
        <v>269.73</v>
      </c>
      <c r="B42">
        <v>4</v>
      </c>
      <c r="C42">
        <v>2.3E-3</v>
      </c>
      <c r="D42">
        <v>43.32</v>
      </c>
      <c r="F42" s="7">
        <f t="shared" si="0"/>
        <v>1076.438484</v>
      </c>
      <c r="G42" s="8">
        <f t="shared" si="1"/>
        <v>45.801515999999999</v>
      </c>
      <c r="I42" t="str">
        <v>06-Jun</v>
      </c>
      <c r="L42" t="b">
        <v>0</v>
      </c>
      <c r="N42" t="b">
        <v>0</v>
      </c>
    </row>
    <row r="43" spans="1:14" x14ac:dyDescent="0.35">
      <c r="A43">
        <v>60.86</v>
      </c>
      <c r="B43">
        <v>3</v>
      </c>
      <c r="C43">
        <v>0.4829</v>
      </c>
      <c r="D43">
        <v>54.26</v>
      </c>
      <c r="F43" s="7">
        <f t="shared" si="0"/>
        <v>94.412117999999992</v>
      </c>
      <c r="G43" s="8">
        <f t="shared" si="1"/>
        <v>142.42788199999998</v>
      </c>
      <c r="I43" t="str">
        <v>03-Mar</v>
      </c>
      <c r="L43" t="b">
        <v>0</v>
      </c>
      <c r="N43" t="b">
        <v>0</v>
      </c>
    </row>
    <row r="44" spans="1:14" x14ac:dyDescent="0.35">
      <c r="A44">
        <v>252.99</v>
      </c>
      <c r="B44">
        <v>5</v>
      </c>
      <c r="C44">
        <v>0.2228</v>
      </c>
      <c r="D44">
        <v>38.11</v>
      </c>
      <c r="F44" s="7">
        <f t="shared" si="0"/>
        <v>983.11914000000002</v>
      </c>
      <c r="G44" s="8">
        <f t="shared" si="1"/>
        <v>319.94086000000004</v>
      </c>
      <c r="I44" t="str">
        <v>05-May</v>
      </c>
      <c r="L44" t="b">
        <v>0</v>
      </c>
      <c r="N44" t="b">
        <v>0</v>
      </c>
    </row>
    <row r="45" spans="1:14" x14ac:dyDescent="0.35">
      <c r="A45">
        <v>106.5</v>
      </c>
      <c r="B45">
        <v>5</v>
      </c>
      <c r="C45">
        <v>0.3649</v>
      </c>
      <c r="D45">
        <v>51.28</v>
      </c>
      <c r="F45" s="7">
        <f t="shared" si="0"/>
        <v>338.19074999999998</v>
      </c>
      <c r="G45" s="8">
        <f t="shared" si="1"/>
        <v>245.58924999999999</v>
      </c>
      <c r="I45" t="str">
        <v>12-Dec</v>
      </c>
      <c r="L45" t="b">
        <v>0</v>
      </c>
      <c r="N45" t="b">
        <v>0</v>
      </c>
    </row>
    <row r="46" spans="1:14" x14ac:dyDescent="0.35">
      <c r="A46">
        <v>345.48</v>
      </c>
      <c r="B46">
        <v>3</v>
      </c>
      <c r="C46">
        <v>7.3700000000000002E-2</v>
      </c>
      <c r="D46">
        <v>27.91</v>
      </c>
      <c r="F46" s="7">
        <f t="shared" si="0"/>
        <v>960.05437200000006</v>
      </c>
      <c r="G46" s="8">
        <f t="shared" si="1"/>
        <v>104.29562800000001</v>
      </c>
      <c r="I46" t="str">
        <v>11-Nov</v>
      </c>
      <c r="L46" t="b">
        <v>0</v>
      </c>
      <c r="N46" t="b">
        <v>0</v>
      </c>
    </row>
    <row r="47" spans="1:14" x14ac:dyDescent="0.35">
      <c r="A47">
        <v>497.81</v>
      </c>
      <c r="B47">
        <v>3</v>
      </c>
      <c r="C47">
        <v>0.11349999999999999</v>
      </c>
      <c r="D47">
        <v>31.53</v>
      </c>
      <c r="F47" s="7">
        <f t="shared" si="0"/>
        <v>1323.9256950000001</v>
      </c>
      <c r="G47" s="8">
        <f t="shared" si="1"/>
        <v>201.03430499999999</v>
      </c>
      <c r="I47" t="str">
        <v>05-May</v>
      </c>
      <c r="L47" t="b">
        <v>0</v>
      </c>
      <c r="N47" t="b">
        <v>0</v>
      </c>
    </row>
    <row r="48" spans="1:14" x14ac:dyDescent="0.35">
      <c r="A48">
        <v>355.23</v>
      </c>
      <c r="B48">
        <v>5</v>
      </c>
      <c r="C48">
        <v>6.5099999999999991E-2</v>
      </c>
      <c r="D48">
        <v>10.95</v>
      </c>
      <c r="F48" s="7">
        <f t="shared" si="0"/>
        <v>1660.5226350000003</v>
      </c>
      <c r="G48" s="8">
        <f t="shared" si="1"/>
        <v>126.57736499999999</v>
      </c>
      <c r="I48" t="str">
        <v>05-May</v>
      </c>
      <c r="L48" t="b">
        <v>0</v>
      </c>
      <c r="N48" t="b">
        <v>0</v>
      </c>
    </row>
    <row r="49" spans="1:14" x14ac:dyDescent="0.35">
      <c r="A49">
        <v>269.32</v>
      </c>
      <c r="B49">
        <v>3</v>
      </c>
      <c r="C49">
        <v>0.48520000000000002</v>
      </c>
      <c r="D49">
        <v>40.659999999999997</v>
      </c>
      <c r="F49" s="7">
        <f t="shared" si="0"/>
        <v>415.93780799999996</v>
      </c>
      <c r="G49" s="8">
        <f t="shared" si="1"/>
        <v>432.68219199999999</v>
      </c>
      <c r="I49" t="str">
        <v>03-Mar</v>
      </c>
      <c r="L49" t="b">
        <v>0</v>
      </c>
      <c r="N49" t="b">
        <v>0</v>
      </c>
    </row>
    <row r="50" spans="1:14" x14ac:dyDescent="0.35">
      <c r="A50">
        <v>398.6</v>
      </c>
      <c r="B50">
        <v>5</v>
      </c>
      <c r="C50">
        <v>0.4456</v>
      </c>
      <c r="D50">
        <v>15.38</v>
      </c>
      <c r="F50" s="7">
        <f t="shared" si="0"/>
        <v>1104.9192</v>
      </c>
      <c r="G50" s="8">
        <f t="shared" si="1"/>
        <v>903.46079999999995</v>
      </c>
      <c r="I50" t="str">
        <v>06-Jun</v>
      </c>
      <c r="L50" t="b">
        <v>0</v>
      </c>
      <c r="N50" t="b">
        <v>0</v>
      </c>
    </row>
    <row r="51" spans="1:14" x14ac:dyDescent="0.35">
      <c r="A51">
        <v>324.39999999999998</v>
      </c>
      <c r="B51">
        <v>5</v>
      </c>
      <c r="C51">
        <v>0.44340000000000002</v>
      </c>
      <c r="D51">
        <v>47.83</v>
      </c>
      <c r="F51" s="7">
        <f t="shared" si="0"/>
        <v>902.80520000000001</v>
      </c>
      <c r="G51" s="8">
        <f t="shared" si="1"/>
        <v>767.02480000000003</v>
      </c>
      <c r="I51" t="str">
        <v>12-Dec</v>
      </c>
      <c r="L51" t="b">
        <v>0</v>
      </c>
      <c r="N51" t="b">
        <v>0</v>
      </c>
    </row>
    <row r="52" spans="1:14" x14ac:dyDescent="0.35">
      <c r="A52">
        <v>346.94</v>
      </c>
      <c r="B52">
        <v>5</v>
      </c>
      <c r="C52">
        <v>0.1066</v>
      </c>
      <c r="D52">
        <v>97.6</v>
      </c>
      <c r="F52" s="7">
        <f t="shared" si="0"/>
        <v>1549.78098</v>
      </c>
      <c r="G52" s="8">
        <f t="shared" si="1"/>
        <v>282.51902000000001</v>
      </c>
      <c r="I52" t="str">
        <v>09-Sep</v>
      </c>
      <c r="L52" t="b">
        <v>0</v>
      </c>
      <c r="N52" t="b">
        <v>0</v>
      </c>
    </row>
    <row r="53" spans="1:14" x14ac:dyDescent="0.35">
      <c r="A53">
        <v>393.18</v>
      </c>
      <c r="B53">
        <v>4</v>
      </c>
      <c r="C53">
        <v>0.30370000000000003</v>
      </c>
      <c r="D53">
        <v>89.85</v>
      </c>
      <c r="F53" s="7">
        <f t="shared" si="0"/>
        <v>1095.084936</v>
      </c>
      <c r="G53" s="8">
        <f t="shared" si="1"/>
        <v>567.48506400000008</v>
      </c>
      <c r="I53" t="str">
        <v>08-Aug</v>
      </c>
      <c r="L53" t="b">
        <v>0</v>
      </c>
      <c r="N53" t="b">
        <v>0</v>
      </c>
    </row>
    <row r="54" spans="1:14" x14ac:dyDescent="0.35">
      <c r="A54">
        <v>88.86</v>
      </c>
      <c r="B54">
        <v>4</v>
      </c>
      <c r="C54">
        <v>0.2487</v>
      </c>
      <c r="D54">
        <v>58.95</v>
      </c>
      <c r="F54" s="7">
        <f t="shared" si="0"/>
        <v>267.04207199999996</v>
      </c>
      <c r="G54" s="8">
        <f t="shared" si="1"/>
        <v>147.34792800000002</v>
      </c>
      <c r="I54" t="str">
        <v>09-Sep</v>
      </c>
      <c r="L54" t="b">
        <v>0</v>
      </c>
      <c r="N54" t="b">
        <v>0</v>
      </c>
    </row>
    <row r="55" spans="1:14" x14ac:dyDescent="0.35">
      <c r="A55">
        <v>70.59</v>
      </c>
      <c r="B55">
        <v>5</v>
      </c>
      <c r="C55">
        <v>0.10349999999999999</v>
      </c>
      <c r="D55">
        <v>18.53</v>
      </c>
      <c r="F55" s="7">
        <f t="shared" si="0"/>
        <v>316.41967500000004</v>
      </c>
      <c r="G55" s="8">
        <f t="shared" si="1"/>
        <v>55.060325000000006</v>
      </c>
      <c r="I55" t="str">
        <v>07-Jul</v>
      </c>
      <c r="L55" t="b">
        <v>0</v>
      </c>
      <c r="N55" t="b">
        <v>0</v>
      </c>
    </row>
    <row r="56" spans="1:14" x14ac:dyDescent="0.35">
      <c r="A56">
        <v>191.38</v>
      </c>
      <c r="B56">
        <v>4</v>
      </c>
      <c r="C56">
        <v>0.12</v>
      </c>
      <c r="D56">
        <v>70.849999999999994</v>
      </c>
      <c r="F56" s="7">
        <f t="shared" si="0"/>
        <v>673.6576</v>
      </c>
      <c r="G56" s="8">
        <f t="shared" si="1"/>
        <v>162.7124</v>
      </c>
      <c r="I56" t="str">
        <v>10-Oct</v>
      </c>
      <c r="L56" t="b">
        <v>0</v>
      </c>
      <c r="N56" t="b">
        <v>0</v>
      </c>
    </row>
    <row r="57" spans="1:14" x14ac:dyDescent="0.35">
      <c r="A57">
        <v>265.77999999999997</v>
      </c>
      <c r="B57">
        <v>5</v>
      </c>
      <c r="C57">
        <v>0.1822</v>
      </c>
      <c r="D57">
        <v>83.01</v>
      </c>
      <c r="F57" s="7">
        <f t="shared" si="0"/>
        <v>1086.77442</v>
      </c>
      <c r="G57" s="8">
        <f t="shared" si="1"/>
        <v>325.13558</v>
      </c>
      <c r="I57" t="str">
        <v>04-Apr</v>
      </c>
      <c r="L57" t="b">
        <v>0</v>
      </c>
      <c r="N57" t="b">
        <v>0</v>
      </c>
    </row>
    <row r="58" spans="1:14" x14ac:dyDescent="0.35">
      <c r="A58">
        <v>120.28</v>
      </c>
      <c r="B58">
        <v>5</v>
      </c>
      <c r="C58">
        <v>5.8299999999999998E-2</v>
      </c>
      <c r="D58">
        <v>69.48</v>
      </c>
      <c r="F58" s="7">
        <f t="shared" si="0"/>
        <v>566.33837999999992</v>
      </c>
      <c r="G58" s="8">
        <f t="shared" si="1"/>
        <v>104.54161999999999</v>
      </c>
      <c r="I58" t="str">
        <v>04-Apr</v>
      </c>
      <c r="L58" t="b">
        <v>0</v>
      </c>
      <c r="N58" t="b">
        <v>0</v>
      </c>
    </row>
    <row r="59" spans="1:14" x14ac:dyDescent="0.35">
      <c r="A59">
        <v>98.14</v>
      </c>
      <c r="B59">
        <v>3</v>
      </c>
      <c r="C59">
        <v>0.22260000000000002</v>
      </c>
      <c r="D59">
        <v>59.55</v>
      </c>
      <c r="F59" s="7">
        <f t="shared" si="0"/>
        <v>228.88210800000002</v>
      </c>
      <c r="G59" s="8">
        <f t="shared" si="1"/>
        <v>125.08789200000001</v>
      </c>
      <c r="I59" t="str">
        <v>04-Apr</v>
      </c>
      <c r="L59" t="b">
        <v>0</v>
      </c>
      <c r="N59" t="b">
        <v>0</v>
      </c>
    </row>
    <row r="60" spans="1:14" x14ac:dyDescent="0.35">
      <c r="A60">
        <v>350.93</v>
      </c>
      <c r="B60">
        <v>4</v>
      </c>
      <c r="C60">
        <v>0.1268</v>
      </c>
      <c r="D60">
        <v>87.57</v>
      </c>
      <c r="F60" s="7">
        <f t="shared" si="0"/>
        <v>1225.728304</v>
      </c>
      <c r="G60" s="8">
        <f t="shared" si="1"/>
        <v>265.56169599999998</v>
      </c>
      <c r="I60" t="str">
        <v>11-Nov</v>
      </c>
      <c r="L60" t="b">
        <v>0</v>
      </c>
      <c r="N60" t="b">
        <v>0</v>
      </c>
    </row>
    <row r="61" spans="1:14" x14ac:dyDescent="0.35">
      <c r="A61">
        <v>326.57</v>
      </c>
      <c r="B61">
        <v>5</v>
      </c>
      <c r="C61">
        <v>0.37319999999999998</v>
      </c>
      <c r="D61">
        <v>12.28</v>
      </c>
      <c r="F61" s="7">
        <f t="shared" si="0"/>
        <v>1023.47038</v>
      </c>
      <c r="G61" s="8">
        <f t="shared" si="1"/>
        <v>621.6596199999999</v>
      </c>
      <c r="I61" t="str">
        <v>03-Mar</v>
      </c>
      <c r="L61" t="b">
        <v>0</v>
      </c>
      <c r="N61" t="b">
        <v>0</v>
      </c>
    </row>
    <row r="62" spans="1:14" x14ac:dyDescent="0.35">
      <c r="A62">
        <v>278.02</v>
      </c>
      <c r="B62">
        <v>5</v>
      </c>
      <c r="C62">
        <v>0.33039999999999997</v>
      </c>
      <c r="D62">
        <v>40.31</v>
      </c>
      <c r="F62" s="7">
        <f t="shared" si="0"/>
        <v>930.81095999999991</v>
      </c>
      <c r="G62" s="8">
        <f t="shared" si="1"/>
        <v>499.59903999999995</v>
      </c>
      <c r="I62" t="str">
        <v>05-May</v>
      </c>
      <c r="L62" t="b">
        <v>0</v>
      </c>
      <c r="N62" t="b">
        <v>0</v>
      </c>
    </row>
    <row r="63" spans="1:14" x14ac:dyDescent="0.35">
      <c r="A63">
        <v>246.55</v>
      </c>
      <c r="B63">
        <v>3</v>
      </c>
      <c r="C63">
        <v>0.44900000000000001</v>
      </c>
      <c r="D63">
        <v>14.62</v>
      </c>
      <c r="F63" s="7">
        <f t="shared" si="0"/>
        <v>407.54714999999999</v>
      </c>
      <c r="G63" s="8">
        <f t="shared" si="1"/>
        <v>346.72285000000005</v>
      </c>
      <c r="I63" t="str">
        <v>03-Mar</v>
      </c>
      <c r="L63" t="b">
        <v>0</v>
      </c>
      <c r="N63" t="b">
        <v>0</v>
      </c>
    </row>
    <row r="64" spans="1:14" x14ac:dyDescent="0.35">
      <c r="A64">
        <v>343.76</v>
      </c>
      <c r="B64">
        <v>5</v>
      </c>
      <c r="C64">
        <v>0.1643</v>
      </c>
      <c r="D64">
        <v>85.32</v>
      </c>
      <c r="F64" s="7">
        <f t="shared" si="0"/>
        <v>1436.4011599999999</v>
      </c>
      <c r="G64" s="8">
        <f t="shared" si="1"/>
        <v>367.71884</v>
      </c>
      <c r="I64" t="str">
        <v>07-Jul</v>
      </c>
      <c r="L64" t="b">
        <v>0</v>
      </c>
      <c r="N64" t="b">
        <v>0</v>
      </c>
    </row>
    <row r="65" spans="1:14" x14ac:dyDescent="0.35">
      <c r="A65">
        <v>224.41</v>
      </c>
      <c r="B65">
        <v>3</v>
      </c>
      <c r="C65">
        <v>0.44770000000000004</v>
      </c>
      <c r="D65">
        <v>58.28</v>
      </c>
      <c r="F65" s="7">
        <f t="shared" si="0"/>
        <v>371.824929</v>
      </c>
      <c r="G65" s="8">
        <f t="shared" si="1"/>
        <v>359.68507099999999</v>
      </c>
      <c r="I65" t="str">
        <v>04-Apr</v>
      </c>
      <c r="L65" t="b">
        <v>0</v>
      </c>
      <c r="N65" t="b">
        <v>0</v>
      </c>
    </row>
    <row r="66" spans="1:14" x14ac:dyDescent="0.35">
      <c r="A66">
        <v>95.76</v>
      </c>
      <c r="B66">
        <v>3</v>
      </c>
      <c r="C66">
        <v>0.11220000000000001</v>
      </c>
      <c r="D66">
        <v>80.7</v>
      </c>
      <c r="F66" s="7">
        <f t="shared" si="0"/>
        <v>255.04718400000004</v>
      </c>
      <c r="G66" s="8">
        <f t="shared" si="1"/>
        <v>112.932816</v>
      </c>
      <c r="I66" t="str">
        <v>11-Nov</v>
      </c>
      <c r="L66" t="b">
        <v>0</v>
      </c>
      <c r="N66" t="b">
        <v>0</v>
      </c>
    </row>
    <row r="67" spans="1:14" x14ac:dyDescent="0.35">
      <c r="A67">
        <v>142.41</v>
      </c>
      <c r="B67">
        <v>4</v>
      </c>
      <c r="C67">
        <v>0.1948</v>
      </c>
      <c r="D67">
        <v>82.06</v>
      </c>
      <c r="F67" s="7">
        <f t="shared" ref="F67:F130" si="2">($A67*$B67)*(1-$C67)</f>
        <v>458.674128</v>
      </c>
      <c r="G67" s="8">
        <f t="shared" ref="G67:G130" si="3">D67+(A67*B67*C67)</f>
        <v>193.02587199999999</v>
      </c>
      <c r="I67" t="str">
        <v>04-Apr</v>
      </c>
      <c r="L67" t="b">
        <v>0</v>
      </c>
      <c r="N67" t="b">
        <v>0</v>
      </c>
    </row>
    <row r="68" spans="1:14" x14ac:dyDescent="0.35">
      <c r="A68">
        <v>265.74</v>
      </c>
      <c r="B68">
        <v>3</v>
      </c>
      <c r="C68">
        <v>0.49130000000000001</v>
      </c>
      <c r="D68">
        <v>10.49</v>
      </c>
      <c r="F68" s="7">
        <f t="shared" si="2"/>
        <v>405.54581399999995</v>
      </c>
      <c r="G68" s="8">
        <f t="shared" si="3"/>
        <v>402.16418600000003</v>
      </c>
      <c r="I68" t="str">
        <v>01-Jan</v>
      </c>
      <c r="L68" t="b">
        <v>1</v>
      </c>
      <c r="N68" t="b">
        <v>0</v>
      </c>
    </row>
    <row r="69" spans="1:14" x14ac:dyDescent="0.35">
      <c r="A69">
        <v>295.48</v>
      </c>
      <c r="B69">
        <v>4</v>
      </c>
      <c r="C69">
        <v>0.37990000000000002</v>
      </c>
      <c r="D69">
        <v>41.03</v>
      </c>
      <c r="F69" s="7">
        <f t="shared" si="2"/>
        <v>732.908592</v>
      </c>
      <c r="G69" s="8">
        <f t="shared" si="3"/>
        <v>490.04140800000005</v>
      </c>
      <c r="I69" t="str">
        <v>03-Mar</v>
      </c>
      <c r="L69" t="b">
        <v>0</v>
      </c>
      <c r="N69" t="b">
        <v>0</v>
      </c>
    </row>
    <row r="70" spans="1:14" x14ac:dyDescent="0.35">
      <c r="A70">
        <v>302.45999999999998</v>
      </c>
      <c r="B70">
        <v>4</v>
      </c>
      <c r="C70">
        <v>0.43</v>
      </c>
      <c r="D70">
        <v>68.44</v>
      </c>
      <c r="F70" s="7">
        <f t="shared" si="2"/>
        <v>689.60879999999997</v>
      </c>
      <c r="G70" s="8">
        <f t="shared" si="3"/>
        <v>588.6712</v>
      </c>
      <c r="I70" t="str">
        <v>07-Jul</v>
      </c>
      <c r="L70" t="b">
        <v>0</v>
      </c>
      <c r="N70" t="b">
        <v>0</v>
      </c>
    </row>
    <row r="71" spans="1:14" x14ac:dyDescent="0.35">
      <c r="A71">
        <v>389.8</v>
      </c>
      <c r="B71">
        <v>3</v>
      </c>
      <c r="C71">
        <v>0.48920000000000002</v>
      </c>
      <c r="D71">
        <v>53.09</v>
      </c>
      <c r="F71" s="7">
        <f t="shared" si="2"/>
        <v>597.32952</v>
      </c>
      <c r="G71" s="8">
        <f t="shared" si="3"/>
        <v>625.16048000000012</v>
      </c>
      <c r="I71" t="str">
        <v>04-Apr</v>
      </c>
      <c r="L71" t="b">
        <v>0</v>
      </c>
      <c r="N71" t="b">
        <v>0</v>
      </c>
    </row>
    <row r="72" spans="1:14" x14ac:dyDescent="0.35">
      <c r="A72">
        <v>333.72</v>
      </c>
      <c r="B72">
        <v>3</v>
      </c>
      <c r="C72">
        <v>0.18239999999999998</v>
      </c>
      <c r="D72">
        <v>46.22</v>
      </c>
      <c r="F72" s="7">
        <f t="shared" si="2"/>
        <v>818.54841600000009</v>
      </c>
      <c r="G72" s="8">
        <f t="shared" si="3"/>
        <v>228.83158399999999</v>
      </c>
      <c r="I72" t="str">
        <v>07-Jul</v>
      </c>
      <c r="L72" t="b">
        <v>0</v>
      </c>
      <c r="N72" t="b">
        <v>0</v>
      </c>
    </row>
    <row r="73" spans="1:14" x14ac:dyDescent="0.35">
      <c r="A73">
        <v>462.42</v>
      </c>
      <c r="B73">
        <v>3</v>
      </c>
      <c r="C73">
        <v>0.15060000000000001</v>
      </c>
      <c r="D73">
        <v>44.63</v>
      </c>
      <c r="F73" s="7">
        <f t="shared" si="2"/>
        <v>1178.3386439999999</v>
      </c>
      <c r="G73" s="8">
        <f t="shared" si="3"/>
        <v>253.551356</v>
      </c>
      <c r="I73" t="str">
        <v>12-Dec</v>
      </c>
      <c r="L73" t="b">
        <v>0</v>
      </c>
      <c r="N73" t="b">
        <v>0</v>
      </c>
    </row>
    <row r="74" spans="1:14" x14ac:dyDescent="0.35">
      <c r="A74">
        <v>97.92</v>
      </c>
      <c r="B74">
        <v>3</v>
      </c>
      <c r="C74">
        <v>8.1300000000000011E-2</v>
      </c>
      <c r="D74">
        <v>46.4</v>
      </c>
      <c r="F74" s="7">
        <f t="shared" si="2"/>
        <v>269.87731199999996</v>
      </c>
      <c r="G74" s="8">
        <f t="shared" si="3"/>
        <v>70.282688000000007</v>
      </c>
      <c r="I74" t="str">
        <v>10-Oct</v>
      </c>
      <c r="L74" t="b">
        <v>0</v>
      </c>
      <c r="N74" t="b">
        <v>0</v>
      </c>
    </row>
    <row r="75" spans="1:14" x14ac:dyDescent="0.35">
      <c r="A75">
        <v>247.68</v>
      </c>
      <c r="B75">
        <v>3</v>
      </c>
      <c r="C75">
        <v>0.12039999999999999</v>
      </c>
      <c r="D75">
        <v>34.71</v>
      </c>
      <c r="F75" s="7">
        <f t="shared" si="2"/>
        <v>653.57798400000001</v>
      </c>
      <c r="G75" s="8">
        <f t="shared" si="3"/>
        <v>124.17201599999999</v>
      </c>
      <c r="I75" t="str">
        <v>03-Mar</v>
      </c>
      <c r="L75" t="b">
        <v>0</v>
      </c>
      <c r="N75" t="b">
        <v>0</v>
      </c>
    </row>
    <row r="76" spans="1:14" x14ac:dyDescent="0.35">
      <c r="A76">
        <v>68.17</v>
      </c>
      <c r="B76">
        <v>3</v>
      </c>
      <c r="C76">
        <v>0.40210000000000001</v>
      </c>
      <c r="D76">
        <v>99.16</v>
      </c>
      <c r="F76" s="7">
        <f t="shared" si="2"/>
        <v>122.276529</v>
      </c>
      <c r="G76" s="8">
        <f t="shared" si="3"/>
        <v>181.39347099999998</v>
      </c>
      <c r="I76" t="str">
        <v>09-Sep</v>
      </c>
      <c r="L76" t="b">
        <v>0</v>
      </c>
      <c r="N76" t="b">
        <v>0</v>
      </c>
    </row>
    <row r="77" spans="1:14" x14ac:dyDescent="0.35">
      <c r="A77">
        <v>326.58</v>
      </c>
      <c r="B77">
        <v>3</v>
      </c>
      <c r="C77">
        <v>7.4700000000000003E-2</v>
      </c>
      <c r="D77">
        <v>47.16</v>
      </c>
      <c r="F77" s="7">
        <f t="shared" si="2"/>
        <v>906.55342200000007</v>
      </c>
      <c r="G77" s="8">
        <f t="shared" si="3"/>
        <v>120.34657799999999</v>
      </c>
      <c r="I77" t="str">
        <v>12-Dec</v>
      </c>
      <c r="L77" t="b">
        <v>0</v>
      </c>
      <c r="N77" t="b">
        <v>0</v>
      </c>
    </row>
    <row r="78" spans="1:14" x14ac:dyDescent="0.35">
      <c r="A78">
        <v>247.25</v>
      </c>
      <c r="B78">
        <v>5</v>
      </c>
      <c r="C78">
        <v>0.30199999999999999</v>
      </c>
      <c r="D78">
        <v>95.49</v>
      </c>
      <c r="F78" s="7">
        <f t="shared" si="2"/>
        <v>862.90249999999992</v>
      </c>
      <c r="G78" s="8">
        <f t="shared" si="3"/>
        <v>468.83749999999998</v>
      </c>
      <c r="I78" t="str">
        <v>07-Jul</v>
      </c>
      <c r="L78" t="b">
        <v>0</v>
      </c>
      <c r="N78" t="b">
        <v>0</v>
      </c>
    </row>
    <row r="79" spans="1:14" x14ac:dyDescent="0.35">
      <c r="A79">
        <v>478.3</v>
      </c>
      <c r="B79">
        <v>5</v>
      </c>
      <c r="C79">
        <v>4.7999999999999996E-3</v>
      </c>
      <c r="D79">
        <v>74.64</v>
      </c>
      <c r="F79" s="7">
        <f t="shared" si="2"/>
        <v>2380.0207999999998</v>
      </c>
      <c r="G79" s="8">
        <f t="shared" si="3"/>
        <v>86.119200000000006</v>
      </c>
      <c r="I79" t="str">
        <v>05-May</v>
      </c>
      <c r="L79" t="b">
        <v>0</v>
      </c>
      <c r="N79" t="b">
        <v>0</v>
      </c>
    </row>
    <row r="80" spans="1:14" x14ac:dyDescent="0.35">
      <c r="A80">
        <v>180</v>
      </c>
      <c r="B80">
        <v>4</v>
      </c>
      <c r="C80">
        <v>0.31950000000000001</v>
      </c>
      <c r="D80">
        <v>77.52</v>
      </c>
      <c r="F80" s="7">
        <f t="shared" si="2"/>
        <v>489.96</v>
      </c>
      <c r="G80" s="8">
        <f t="shared" si="3"/>
        <v>307.56</v>
      </c>
      <c r="I80" t="str">
        <v>10-Oct</v>
      </c>
      <c r="L80" t="b">
        <v>0</v>
      </c>
      <c r="N80" t="b">
        <v>0</v>
      </c>
    </row>
    <row r="81" spans="1:14" x14ac:dyDescent="0.35">
      <c r="A81">
        <v>259.77</v>
      </c>
      <c r="B81">
        <v>3</v>
      </c>
      <c r="C81">
        <v>0.22</v>
      </c>
      <c r="D81">
        <v>73.849999999999994</v>
      </c>
      <c r="F81" s="7">
        <f t="shared" si="2"/>
        <v>607.86180000000002</v>
      </c>
      <c r="G81" s="8">
        <f t="shared" si="3"/>
        <v>245.29819999999998</v>
      </c>
      <c r="I81" t="str">
        <v>07-Jul</v>
      </c>
      <c r="L81" t="b">
        <v>0</v>
      </c>
      <c r="N81" t="b">
        <v>0</v>
      </c>
    </row>
    <row r="82" spans="1:14" x14ac:dyDescent="0.35">
      <c r="A82">
        <v>408.97</v>
      </c>
      <c r="B82">
        <v>3</v>
      </c>
      <c r="C82">
        <v>0.3614</v>
      </c>
      <c r="D82">
        <v>50.37</v>
      </c>
      <c r="F82" s="7">
        <f t="shared" si="2"/>
        <v>783.50472600000012</v>
      </c>
      <c r="G82" s="8">
        <f t="shared" si="3"/>
        <v>493.77527400000002</v>
      </c>
      <c r="I82" t="str">
        <v>03-Mar</v>
      </c>
      <c r="L82" t="b">
        <v>0</v>
      </c>
      <c r="N82" t="b">
        <v>0</v>
      </c>
    </row>
    <row r="83" spans="1:14" x14ac:dyDescent="0.35">
      <c r="A83">
        <v>369.49</v>
      </c>
      <c r="B83">
        <v>3</v>
      </c>
      <c r="C83">
        <v>5.1000000000000004E-3</v>
      </c>
      <c r="D83">
        <v>84.13</v>
      </c>
      <c r="F83" s="7">
        <f t="shared" si="2"/>
        <v>1102.8168029999999</v>
      </c>
      <c r="G83" s="8">
        <f t="shared" si="3"/>
        <v>89.783197000000001</v>
      </c>
      <c r="I83" t="str">
        <v>09-Sep</v>
      </c>
      <c r="L83" t="b">
        <v>0</v>
      </c>
      <c r="N83" t="b">
        <v>0</v>
      </c>
    </row>
    <row r="84" spans="1:14" x14ac:dyDescent="0.35">
      <c r="A84">
        <v>120.86</v>
      </c>
      <c r="B84">
        <v>4</v>
      </c>
      <c r="C84">
        <v>0.30769999999999997</v>
      </c>
      <c r="D84">
        <v>10.64</v>
      </c>
      <c r="F84" s="7">
        <f t="shared" si="2"/>
        <v>334.68551200000002</v>
      </c>
      <c r="G84" s="8">
        <f t="shared" si="3"/>
        <v>159.39448799999997</v>
      </c>
      <c r="I84" t="str">
        <v>11-Nov</v>
      </c>
      <c r="L84" t="b">
        <v>0</v>
      </c>
      <c r="N84" t="b">
        <v>0</v>
      </c>
    </row>
    <row r="85" spans="1:14" x14ac:dyDescent="0.35">
      <c r="A85">
        <v>381.18</v>
      </c>
      <c r="B85">
        <v>5</v>
      </c>
      <c r="C85">
        <v>0.46130000000000004</v>
      </c>
      <c r="D85">
        <v>53.83</v>
      </c>
      <c r="F85" s="7">
        <f t="shared" si="2"/>
        <v>1026.7083299999999</v>
      </c>
      <c r="G85" s="8">
        <f t="shared" si="3"/>
        <v>933.0216700000002</v>
      </c>
      <c r="I85" t="str">
        <v>09-Sep</v>
      </c>
      <c r="L85" t="b">
        <v>0</v>
      </c>
      <c r="N85" t="b">
        <v>0</v>
      </c>
    </row>
    <row r="86" spans="1:14" x14ac:dyDescent="0.35">
      <c r="A86">
        <v>83.05</v>
      </c>
      <c r="B86">
        <v>5</v>
      </c>
      <c r="C86">
        <v>0.41139999999999999</v>
      </c>
      <c r="D86">
        <v>55.28</v>
      </c>
      <c r="F86" s="7">
        <f t="shared" si="2"/>
        <v>244.41615000000002</v>
      </c>
      <c r="G86" s="8">
        <f t="shared" si="3"/>
        <v>226.11384999999999</v>
      </c>
      <c r="I86" t="str">
        <v>08-Aug</v>
      </c>
      <c r="L86" t="b">
        <v>0</v>
      </c>
      <c r="N86" t="b">
        <v>0</v>
      </c>
    </row>
    <row r="87" spans="1:14" x14ac:dyDescent="0.35">
      <c r="A87">
        <v>256.69</v>
      </c>
      <c r="B87">
        <v>3</v>
      </c>
      <c r="C87">
        <v>0.32990000000000003</v>
      </c>
      <c r="D87">
        <v>88.01</v>
      </c>
      <c r="F87" s="7">
        <f t="shared" si="2"/>
        <v>516.02390699999989</v>
      </c>
      <c r="G87" s="8">
        <f t="shared" si="3"/>
        <v>342.05609300000003</v>
      </c>
      <c r="I87" t="str">
        <v>06-Jun</v>
      </c>
      <c r="L87" t="b">
        <v>0</v>
      </c>
      <c r="N87" t="b">
        <v>0</v>
      </c>
    </row>
    <row r="88" spans="1:14" x14ac:dyDescent="0.35">
      <c r="A88">
        <v>78.12</v>
      </c>
      <c r="B88">
        <v>3</v>
      </c>
      <c r="C88">
        <v>0.46079999999999999</v>
      </c>
      <c r="D88">
        <v>59.53</v>
      </c>
      <c r="F88" s="7">
        <f t="shared" si="2"/>
        <v>126.36691200000001</v>
      </c>
      <c r="G88" s="8">
        <f t="shared" si="3"/>
        <v>167.523088</v>
      </c>
      <c r="I88" t="str">
        <v>06-Jun</v>
      </c>
      <c r="L88" t="b">
        <v>0</v>
      </c>
      <c r="N88" t="b">
        <v>0</v>
      </c>
    </row>
    <row r="89" spans="1:14" x14ac:dyDescent="0.35">
      <c r="A89">
        <v>452.44</v>
      </c>
      <c r="B89">
        <v>5</v>
      </c>
      <c r="C89">
        <v>2.3799999999999998E-2</v>
      </c>
      <c r="D89">
        <v>24.81</v>
      </c>
      <c r="F89" s="7">
        <f t="shared" si="2"/>
        <v>2208.3596399999997</v>
      </c>
      <c r="G89" s="8">
        <f t="shared" si="3"/>
        <v>78.650359999999992</v>
      </c>
      <c r="I89" t="str">
        <v>10-Oct</v>
      </c>
      <c r="L89" t="b">
        <v>0</v>
      </c>
      <c r="N89" t="b">
        <v>0</v>
      </c>
    </row>
    <row r="90" spans="1:14" x14ac:dyDescent="0.35">
      <c r="A90">
        <v>263.73</v>
      </c>
      <c r="B90">
        <v>5</v>
      </c>
      <c r="C90">
        <v>0.2339</v>
      </c>
      <c r="D90">
        <v>92.48</v>
      </c>
      <c r="F90" s="7">
        <f t="shared" si="2"/>
        <v>1010.2177650000001</v>
      </c>
      <c r="G90" s="8">
        <f t="shared" si="3"/>
        <v>400.91223500000001</v>
      </c>
      <c r="I90" t="str">
        <v>04-Apr</v>
      </c>
      <c r="L90" t="b">
        <v>0</v>
      </c>
      <c r="N90" t="b">
        <v>0</v>
      </c>
    </row>
    <row r="91" spans="1:14" x14ac:dyDescent="0.35">
      <c r="A91">
        <v>183.34</v>
      </c>
      <c r="B91">
        <v>3</v>
      </c>
      <c r="C91">
        <v>0.30109999999999998</v>
      </c>
      <c r="D91">
        <v>35.049999999999997</v>
      </c>
      <c r="F91" s="7">
        <f t="shared" si="2"/>
        <v>384.40897800000005</v>
      </c>
      <c r="G91" s="8">
        <f t="shared" si="3"/>
        <v>200.661022</v>
      </c>
      <c r="I91" t="str">
        <v>03-Mar</v>
      </c>
      <c r="L91" t="b">
        <v>0</v>
      </c>
      <c r="N91" t="b">
        <v>0</v>
      </c>
    </row>
    <row r="92" spans="1:14" x14ac:dyDescent="0.35">
      <c r="A92">
        <v>121.09</v>
      </c>
      <c r="B92">
        <v>3</v>
      </c>
      <c r="C92">
        <v>0.39280000000000004</v>
      </c>
      <c r="D92">
        <v>60.71</v>
      </c>
      <c r="F92" s="7">
        <f t="shared" si="2"/>
        <v>220.57754399999999</v>
      </c>
      <c r="G92" s="8">
        <f t="shared" si="3"/>
        <v>203.402456</v>
      </c>
      <c r="I92" t="str">
        <v>01-Jan</v>
      </c>
      <c r="L92" t="b">
        <v>1</v>
      </c>
      <c r="N92" t="b">
        <v>0</v>
      </c>
    </row>
    <row r="93" spans="1:14" x14ac:dyDescent="0.35">
      <c r="A93">
        <v>259.52</v>
      </c>
      <c r="B93">
        <v>3</v>
      </c>
      <c r="C93">
        <v>0.10880000000000001</v>
      </c>
      <c r="D93">
        <v>14.33</v>
      </c>
      <c r="F93" s="7">
        <f t="shared" si="2"/>
        <v>693.85267199999998</v>
      </c>
      <c r="G93" s="8">
        <f t="shared" si="3"/>
        <v>99.037328000000002</v>
      </c>
      <c r="I93" t="str">
        <v>03-Mar</v>
      </c>
      <c r="L93" t="b">
        <v>0</v>
      </c>
      <c r="N93" t="b">
        <v>0</v>
      </c>
    </row>
    <row r="94" spans="1:14" x14ac:dyDescent="0.35">
      <c r="A94">
        <v>348.35</v>
      </c>
      <c r="B94">
        <v>4</v>
      </c>
      <c r="C94">
        <v>0.12240000000000001</v>
      </c>
      <c r="D94">
        <v>26.04</v>
      </c>
      <c r="F94" s="7">
        <f t="shared" si="2"/>
        <v>1222.8478399999999</v>
      </c>
      <c r="G94" s="8">
        <f t="shared" si="3"/>
        <v>196.59216000000001</v>
      </c>
      <c r="I94" t="str">
        <v>12-Dec</v>
      </c>
      <c r="L94" t="b">
        <v>0</v>
      </c>
      <c r="N94" t="b">
        <v>0</v>
      </c>
    </row>
    <row r="95" spans="1:14" x14ac:dyDescent="0.35">
      <c r="A95">
        <v>486.04</v>
      </c>
      <c r="B95">
        <v>5</v>
      </c>
      <c r="C95">
        <v>0.27529999999999999</v>
      </c>
      <c r="D95">
        <v>43.76</v>
      </c>
      <c r="F95" s="7">
        <f t="shared" si="2"/>
        <v>1761.1659400000003</v>
      </c>
      <c r="G95" s="8">
        <f t="shared" si="3"/>
        <v>712.79406000000006</v>
      </c>
      <c r="I95" t="str">
        <v>12-Dec</v>
      </c>
      <c r="L95" t="b">
        <v>0</v>
      </c>
      <c r="N95" t="b">
        <v>0</v>
      </c>
    </row>
    <row r="96" spans="1:14" x14ac:dyDescent="0.35">
      <c r="A96">
        <v>268.85000000000002</v>
      </c>
      <c r="B96">
        <v>5</v>
      </c>
      <c r="C96">
        <v>9.1000000000000004E-3</v>
      </c>
      <c r="D96">
        <v>87.31</v>
      </c>
      <c r="F96" s="7">
        <f t="shared" si="2"/>
        <v>1332.017325</v>
      </c>
      <c r="G96" s="8">
        <f t="shared" si="3"/>
        <v>99.542675000000003</v>
      </c>
      <c r="I96" t="str">
        <v>07-Jul</v>
      </c>
      <c r="L96" t="b">
        <v>0</v>
      </c>
      <c r="N96" t="b">
        <v>0</v>
      </c>
    </row>
    <row r="97" spans="1:14" x14ac:dyDescent="0.35">
      <c r="A97">
        <v>437.64</v>
      </c>
      <c r="B97">
        <v>5</v>
      </c>
      <c r="C97">
        <v>0.46560000000000001</v>
      </c>
      <c r="D97">
        <v>90.7</v>
      </c>
      <c r="F97" s="7">
        <f t="shared" si="2"/>
        <v>1169.3740799999998</v>
      </c>
      <c r="G97" s="8">
        <f t="shared" si="3"/>
        <v>1109.52592</v>
      </c>
      <c r="I97" t="str">
        <v>04-Apr</v>
      </c>
      <c r="L97" t="b">
        <v>0</v>
      </c>
      <c r="N97" t="b">
        <v>0</v>
      </c>
    </row>
    <row r="98" spans="1:14" x14ac:dyDescent="0.35">
      <c r="A98">
        <v>432.42</v>
      </c>
      <c r="B98">
        <v>4</v>
      </c>
      <c r="C98">
        <v>0.34079999999999999</v>
      </c>
      <c r="D98">
        <v>12.69</v>
      </c>
      <c r="F98" s="7">
        <f t="shared" si="2"/>
        <v>1140.205056</v>
      </c>
      <c r="G98" s="8">
        <f t="shared" si="3"/>
        <v>602.16494400000011</v>
      </c>
      <c r="I98" t="str">
        <v>11-Nov</v>
      </c>
      <c r="L98" t="b">
        <v>0</v>
      </c>
      <c r="N98" t="b">
        <v>0</v>
      </c>
    </row>
    <row r="99" spans="1:14" x14ac:dyDescent="0.35">
      <c r="A99">
        <v>263.61</v>
      </c>
      <c r="B99">
        <v>5</v>
      </c>
      <c r="C99">
        <v>0.28460000000000002</v>
      </c>
      <c r="D99">
        <v>42.22</v>
      </c>
      <c r="F99" s="7">
        <f t="shared" si="2"/>
        <v>942.93297000000018</v>
      </c>
      <c r="G99" s="8">
        <f t="shared" si="3"/>
        <v>417.33703000000003</v>
      </c>
      <c r="I99" t="str">
        <v>11-Nov</v>
      </c>
      <c r="L99" t="b">
        <v>0</v>
      </c>
      <c r="N99" t="b">
        <v>0</v>
      </c>
    </row>
    <row r="100" spans="1:14" x14ac:dyDescent="0.35">
      <c r="A100">
        <v>476.98</v>
      </c>
      <c r="B100">
        <v>5</v>
      </c>
      <c r="C100">
        <v>0.34139999999999998</v>
      </c>
      <c r="D100">
        <v>59.26</v>
      </c>
      <c r="F100" s="7">
        <f t="shared" si="2"/>
        <v>1570.6951400000003</v>
      </c>
      <c r="G100" s="8">
        <f t="shared" si="3"/>
        <v>873.46485999999993</v>
      </c>
      <c r="I100" t="str">
        <v>02-Feb</v>
      </c>
      <c r="L100" t="b">
        <v>0</v>
      </c>
      <c r="N100" t="b">
        <v>0</v>
      </c>
    </row>
    <row r="101" spans="1:14" x14ac:dyDescent="0.35">
      <c r="A101">
        <v>90.58</v>
      </c>
      <c r="B101">
        <v>5</v>
      </c>
      <c r="C101">
        <v>0.48560000000000003</v>
      </c>
      <c r="D101">
        <v>90.04</v>
      </c>
      <c r="F101" s="7">
        <f t="shared" si="2"/>
        <v>232.97175999999996</v>
      </c>
      <c r="G101" s="8">
        <f t="shared" si="3"/>
        <v>309.96824000000004</v>
      </c>
      <c r="I101" t="str">
        <v>02-Feb</v>
      </c>
      <c r="L101" t="b">
        <v>0</v>
      </c>
      <c r="N101" t="b">
        <v>0</v>
      </c>
    </row>
    <row r="102" spans="1:14" x14ac:dyDescent="0.35">
      <c r="A102">
        <v>176.03</v>
      </c>
      <c r="B102">
        <v>3</v>
      </c>
      <c r="C102">
        <v>0.20019999999999999</v>
      </c>
      <c r="D102">
        <v>19.28</v>
      </c>
      <c r="F102" s="7">
        <f t="shared" si="2"/>
        <v>422.36638200000004</v>
      </c>
      <c r="G102" s="8">
        <f t="shared" si="3"/>
        <v>125.003618</v>
      </c>
      <c r="I102" t="str">
        <v>09-Sep</v>
      </c>
      <c r="L102" t="b">
        <v>0</v>
      </c>
      <c r="N102" t="b">
        <v>0</v>
      </c>
    </row>
    <row r="103" spans="1:14" x14ac:dyDescent="0.35">
      <c r="A103">
        <v>196.17</v>
      </c>
      <c r="B103">
        <v>3</v>
      </c>
      <c r="C103">
        <v>0.1394</v>
      </c>
      <c r="D103">
        <v>51.99</v>
      </c>
      <c r="F103" s="7">
        <f t="shared" si="2"/>
        <v>506.47170599999998</v>
      </c>
      <c r="G103" s="8">
        <f t="shared" si="3"/>
        <v>134.02829399999999</v>
      </c>
      <c r="I103" t="str">
        <v>05-May</v>
      </c>
      <c r="L103" t="b">
        <v>0</v>
      </c>
      <c r="N103" t="b">
        <v>0</v>
      </c>
    </row>
    <row r="104" spans="1:14" x14ac:dyDescent="0.35">
      <c r="A104">
        <v>291.31</v>
      </c>
      <c r="B104">
        <v>3</v>
      </c>
      <c r="C104">
        <v>0.33390000000000003</v>
      </c>
      <c r="D104">
        <v>23.78</v>
      </c>
      <c r="F104" s="7">
        <f t="shared" si="2"/>
        <v>582.124773</v>
      </c>
      <c r="G104" s="8">
        <f t="shared" si="3"/>
        <v>315.58522700000003</v>
      </c>
      <c r="I104" t="str">
        <v>07-Jul</v>
      </c>
      <c r="L104" t="b">
        <v>0</v>
      </c>
      <c r="N104" t="b">
        <v>0</v>
      </c>
    </row>
    <row r="105" spans="1:14" x14ac:dyDescent="0.35">
      <c r="A105">
        <v>121.88</v>
      </c>
      <c r="B105">
        <v>3</v>
      </c>
      <c r="C105">
        <v>0.43329999999999996</v>
      </c>
      <c r="D105">
        <v>31.07</v>
      </c>
      <c r="F105" s="7">
        <f t="shared" si="2"/>
        <v>207.20818799999998</v>
      </c>
      <c r="G105" s="8">
        <f t="shared" si="3"/>
        <v>189.50181199999997</v>
      </c>
      <c r="I105" t="str">
        <v>12-Dec</v>
      </c>
      <c r="L105" t="b">
        <v>0</v>
      </c>
      <c r="N105" t="b">
        <v>0</v>
      </c>
    </row>
    <row r="106" spans="1:14" x14ac:dyDescent="0.35">
      <c r="A106">
        <v>294.94</v>
      </c>
      <c r="B106">
        <v>5</v>
      </c>
      <c r="C106">
        <v>0.16500000000000001</v>
      </c>
      <c r="D106">
        <v>22.42</v>
      </c>
      <c r="F106" s="7">
        <f t="shared" si="2"/>
        <v>1231.3744999999999</v>
      </c>
      <c r="G106" s="8">
        <f t="shared" si="3"/>
        <v>265.74549999999999</v>
      </c>
      <c r="I106" t="str">
        <v>11-Nov</v>
      </c>
      <c r="L106" t="b">
        <v>0</v>
      </c>
      <c r="N106" t="b">
        <v>0</v>
      </c>
    </row>
    <row r="107" spans="1:14" x14ac:dyDescent="0.35">
      <c r="A107">
        <v>269.88</v>
      </c>
      <c r="B107">
        <v>5</v>
      </c>
      <c r="C107">
        <v>8.3999999999999995E-3</v>
      </c>
      <c r="D107">
        <v>65.05</v>
      </c>
      <c r="F107" s="7">
        <f t="shared" si="2"/>
        <v>1338.0650400000002</v>
      </c>
      <c r="G107" s="8">
        <f t="shared" si="3"/>
        <v>76.384959999999992</v>
      </c>
      <c r="I107" t="str">
        <v>03-Mar</v>
      </c>
      <c r="L107" t="b">
        <v>0</v>
      </c>
      <c r="N107" t="b">
        <v>0</v>
      </c>
    </row>
    <row r="108" spans="1:14" x14ac:dyDescent="0.35">
      <c r="A108">
        <v>467.68</v>
      </c>
      <c r="B108">
        <v>5</v>
      </c>
      <c r="C108">
        <v>0.439</v>
      </c>
      <c r="D108">
        <v>76.55</v>
      </c>
      <c r="F108" s="7">
        <f t="shared" si="2"/>
        <v>1311.8424</v>
      </c>
      <c r="G108" s="8">
        <f t="shared" si="3"/>
        <v>1103.1076</v>
      </c>
      <c r="I108" t="str">
        <v>05-May</v>
      </c>
      <c r="L108" t="b">
        <v>0</v>
      </c>
      <c r="N108" t="b">
        <v>0</v>
      </c>
    </row>
    <row r="109" spans="1:14" x14ac:dyDescent="0.35">
      <c r="A109">
        <v>319.32</v>
      </c>
      <c r="B109">
        <v>5</v>
      </c>
      <c r="C109">
        <v>0.47220000000000001</v>
      </c>
      <c r="D109">
        <v>34.06</v>
      </c>
      <c r="F109" s="7">
        <f t="shared" si="2"/>
        <v>842.68547999999998</v>
      </c>
      <c r="G109" s="8">
        <f t="shared" si="3"/>
        <v>787.97451999999998</v>
      </c>
      <c r="I109" t="str">
        <v>03-Mar</v>
      </c>
      <c r="L109" t="b">
        <v>0</v>
      </c>
      <c r="N109" t="b">
        <v>0</v>
      </c>
    </row>
    <row r="110" spans="1:14" x14ac:dyDescent="0.35">
      <c r="A110">
        <v>125.92</v>
      </c>
      <c r="B110">
        <v>4</v>
      </c>
      <c r="C110">
        <v>5.4900000000000004E-2</v>
      </c>
      <c r="D110">
        <v>16.75</v>
      </c>
      <c r="F110" s="7">
        <f t="shared" si="2"/>
        <v>476.02796800000004</v>
      </c>
      <c r="G110" s="8">
        <f t="shared" si="3"/>
        <v>44.402032000000005</v>
      </c>
      <c r="I110" t="str">
        <v>12-Dec</v>
      </c>
      <c r="L110" t="b">
        <v>0</v>
      </c>
      <c r="N110" t="b">
        <v>0</v>
      </c>
    </row>
    <row r="111" spans="1:14" x14ac:dyDescent="0.35">
      <c r="A111">
        <v>103.7</v>
      </c>
      <c r="B111">
        <v>4</v>
      </c>
      <c r="C111">
        <v>0.30409999999999998</v>
      </c>
      <c r="D111">
        <v>78.23</v>
      </c>
      <c r="F111" s="7">
        <f t="shared" si="2"/>
        <v>288.65931999999998</v>
      </c>
      <c r="G111" s="8">
        <f t="shared" si="3"/>
        <v>204.37067999999999</v>
      </c>
      <c r="I111" t="str">
        <v>11-Nov</v>
      </c>
      <c r="L111" t="b">
        <v>0</v>
      </c>
      <c r="N111" t="b">
        <v>0</v>
      </c>
    </row>
    <row r="112" spans="1:14" x14ac:dyDescent="0.35">
      <c r="A112">
        <v>177.14</v>
      </c>
      <c r="B112">
        <v>4</v>
      </c>
      <c r="C112">
        <v>0.44280000000000003</v>
      </c>
      <c r="D112">
        <v>21.57</v>
      </c>
      <c r="F112" s="7">
        <f t="shared" si="2"/>
        <v>394.80963199999991</v>
      </c>
      <c r="G112" s="8">
        <f t="shared" si="3"/>
        <v>335.32036799999997</v>
      </c>
      <c r="I112" t="str">
        <v>12-Dec</v>
      </c>
      <c r="L112" t="b">
        <v>0</v>
      </c>
      <c r="N112" t="b">
        <v>0</v>
      </c>
    </row>
    <row r="113" spans="1:14" x14ac:dyDescent="0.35">
      <c r="A113">
        <v>110.17</v>
      </c>
      <c r="B113">
        <v>5</v>
      </c>
      <c r="C113">
        <v>0.29469999999999996</v>
      </c>
      <c r="D113">
        <v>59.12</v>
      </c>
      <c r="F113" s="7">
        <f t="shared" si="2"/>
        <v>388.51450500000004</v>
      </c>
      <c r="G113" s="8">
        <f t="shared" si="3"/>
        <v>221.45549499999998</v>
      </c>
      <c r="I113" t="str">
        <v>12-Dec</v>
      </c>
      <c r="L113" t="b">
        <v>0</v>
      </c>
      <c r="N113" t="b">
        <v>0</v>
      </c>
    </row>
    <row r="114" spans="1:14" x14ac:dyDescent="0.35">
      <c r="A114">
        <v>464.07</v>
      </c>
      <c r="B114">
        <v>4</v>
      </c>
      <c r="C114">
        <v>0.31730000000000003</v>
      </c>
      <c r="D114">
        <v>97.63</v>
      </c>
      <c r="F114" s="7">
        <f t="shared" si="2"/>
        <v>1267.2823559999999</v>
      </c>
      <c r="G114" s="8">
        <f t="shared" si="3"/>
        <v>686.62764400000003</v>
      </c>
      <c r="I114" t="str">
        <v>01-Jan</v>
      </c>
      <c r="L114" t="b">
        <v>1</v>
      </c>
      <c r="N114" t="b">
        <v>0</v>
      </c>
    </row>
    <row r="115" spans="1:14" x14ac:dyDescent="0.35">
      <c r="A115">
        <v>250.94</v>
      </c>
      <c r="B115">
        <v>4</v>
      </c>
      <c r="C115">
        <v>0.12990000000000002</v>
      </c>
      <c r="D115">
        <v>57.83</v>
      </c>
      <c r="F115" s="7">
        <f t="shared" si="2"/>
        <v>873.371576</v>
      </c>
      <c r="G115" s="8">
        <f t="shared" si="3"/>
        <v>188.21842400000003</v>
      </c>
      <c r="I115" t="str">
        <v>02-Feb</v>
      </c>
      <c r="L115" t="b">
        <v>0</v>
      </c>
      <c r="N115" t="b">
        <v>0</v>
      </c>
    </row>
    <row r="116" spans="1:14" x14ac:dyDescent="0.35">
      <c r="A116">
        <v>300.58</v>
      </c>
      <c r="B116">
        <v>5</v>
      </c>
      <c r="C116">
        <v>0.12560000000000002</v>
      </c>
      <c r="D116">
        <v>41.22</v>
      </c>
      <c r="F116" s="7">
        <f t="shared" si="2"/>
        <v>1314.1357599999999</v>
      </c>
      <c r="G116" s="8">
        <f t="shared" si="3"/>
        <v>229.98424</v>
      </c>
      <c r="I116" t="str">
        <v>01-Jan</v>
      </c>
      <c r="L116" t="b">
        <v>1</v>
      </c>
      <c r="N116" t="b">
        <v>0</v>
      </c>
    </row>
    <row r="117" spans="1:14" x14ac:dyDescent="0.35">
      <c r="A117">
        <v>305.45999999999998</v>
      </c>
      <c r="B117">
        <v>5</v>
      </c>
      <c r="C117">
        <v>0.2228</v>
      </c>
      <c r="D117">
        <v>31.85</v>
      </c>
      <c r="F117" s="7">
        <f t="shared" si="2"/>
        <v>1187.01756</v>
      </c>
      <c r="G117" s="8">
        <f t="shared" si="3"/>
        <v>372.13244000000003</v>
      </c>
      <c r="I117" t="str">
        <v>08-Aug</v>
      </c>
      <c r="L117" t="b">
        <v>0</v>
      </c>
      <c r="N117" t="b">
        <v>0</v>
      </c>
    </row>
    <row r="118" spans="1:14" x14ac:dyDescent="0.35">
      <c r="A118">
        <v>128.12</v>
      </c>
      <c r="B118">
        <v>3</v>
      </c>
      <c r="C118">
        <v>0.23260000000000003</v>
      </c>
      <c r="D118">
        <v>42.29</v>
      </c>
      <c r="F118" s="7">
        <f t="shared" si="2"/>
        <v>294.95786399999997</v>
      </c>
      <c r="G118" s="8">
        <f t="shared" si="3"/>
        <v>131.692136</v>
      </c>
      <c r="I118" t="str">
        <v>02-Feb</v>
      </c>
      <c r="L118" t="b">
        <v>0</v>
      </c>
      <c r="N118" t="b">
        <v>0</v>
      </c>
    </row>
    <row r="119" spans="1:14" x14ac:dyDescent="0.35">
      <c r="A119">
        <v>271.92</v>
      </c>
      <c r="B119">
        <v>3</v>
      </c>
      <c r="C119">
        <v>0.37969999999999998</v>
      </c>
      <c r="D119">
        <v>47.42</v>
      </c>
      <c r="F119" s="7">
        <f t="shared" si="2"/>
        <v>506.01592800000003</v>
      </c>
      <c r="G119" s="8">
        <f t="shared" si="3"/>
        <v>357.16407199999998</v>
      </c>
      <c r="I119" t="str">
        <v>11-Nov</v>
      </c>
      <c r="L119" t="b">
        <v>0</v>
      </c>
      <c r="N119" t="b">
        <v>0</v>
      </c>
    </row>
    <row r="120" spans="1:14" x14ac:dyDescent="0.35">
      <c r="A120">
        <v>199.14</v>
      </c>
      <c r="B120">
        <v>3</v>
      </c>
      <c r="C120">
        <v>7.8100000000000003E-2</v>
      </c>
      <c r="D120">
        <v>56.38</v>
      </c>
      <c r="F120" s="7">
        <f t="shared" si="2"/>
        <v>550.76149799999996</v>
      </c>
      <c r="G120" s="8">
        <f t="shared" si="3"/>
        <v>103.03850199999999</v>
      </c>
      <c r="I120" t="str">
        <v>11-Nov</v>
      </c>
      <c r="L120" t="b">
        <v>0</v>
      </c>
      <c r="N120" t="b">
        <v>0</v>
      </c>
    </row>
    <row r="121" spans="1:14" x14ac:dyDescent="0.35">
      <c r="A121">
        <v>336.98</v>
      </c>
      <c r="B121">
        <v>4</v>
      </c>
      <c r="C121">
        <v>5.7999999999999996E-3</v>
      </c>
      <c r="D121">
        <v>96.73</v>
      </c>
      <c r="F121" s="7">
        <f t="shared" si="2"/>
        <v>1340.1020639999999</v>
      </c>
      <c r="G121" s="8">
        <f t="shared" si="3"/>
        <v>104.54793600000001</v>
      </c>
      <c r="I121" t="str">
        <v>06-Jun</v>
      </c>
      <c r="L121" t="b">
        <v>0</v>
      </c>
      <c r="N121" t="b">
        <v>0</v>
      </c>
    </row>
    <row r="122" spans="1:14" x14ac:dyDescent="0.35">
      <c r="A122">
        <v>154.13</v>
      </c>
      <c r="B122">
        <v>5</v>
      </c>
      <c r="C122">
        <v>0.42950000000000005</v>
      </c>
      <c r="D122">
        <v>16.04</v>
      </c>
      <c r="F122" s="7">
        <f t="shared" si="2"/>
        <v>439.65582499999999</v>
      </c>
      <c r="G122" s="8">
        <f t="shared" si="3"/>
        <v>347.03417500000006</v>
      </c>
      <c r="I122" t="str">
        <v>06-Jun</v>
      </c>
      <c r="L122" t="b">
        <v>0</v>
      </c>
      <c r="N122" t="b">
        <v>0</v>
      </c>
    </row>
    <row r="123" spans="1:14" x14ac:dyDescent="0.35">
      <c r="A123">
        <v>78.86</v>
      </c>
      <c r="B123">
        <v>4</v>
      </c>
      <c r="C123">
        <v>0.1051</v>
      </c>
      <c r="D123">
        <v>65.53</v>
      </c>
      <c r="F123" s="7">
        <f t="shared" si="2"/>
        <v>282.28725600000001</v>
      </c>
      <c r="G123" s="8">
        <f t="shared" si="3"/>
        <v>98.682744</v>
      </c>
      <c r="I123" t="str">
        <v>04-Apr</v>
      </c>
      <c r="L123" t="b">
        <v>0</v>
      </c>
      <c r="N123" t="b">
        <v>0</v>
      </c>
    </row>
    <row r="124" spans="1:14" x14ac:dyDescent="0.35">
      <c r="A124">
        <v>283.7</v>
      </c>
      <c r="B124">
        <v>5</v>
      </c>
      <c r="C124">
        <v>0.43590000000000001</v>
      </c>
      <c r="D124">
        <v>42.41</v>
      </c>
      <c r="F124" s="7">
        <f t="shared" si="2"/>
        <v>800.17585000000008</v>
      </c>
      <c r="G124" s="8">
        <f t="shared" si="3"/>
        <v>660.73415</v>
      </c>
      <c r="I124" t="str">
        <v>03-Mar</v>
      </c>
      <c r="L124" t="b">
        <v>0</v>
      </c>
      <c r="N124" t="b">
        <v>0</v>
      </c>
    </row>
    <row r="125" spans="1:14" x14ac:dyDescent="0.35">
      <c r="A125">
        <v>133.12</v>
      </c>
      <c r="B125">
        <v>5</v>
      </c>
      <c r="C125">
        <v>2.41E-2</v>
      </c>
      <c r="D125">
        <v>60.49</v>
      </c>
      <c r="F125" s="7">
        <f t="shared" si="2"/>
        <v>649.55903999999998</v>
      </c>
      <c r="G125" s="8">
        <f t="shared" si="3"/>
        <v>76.530960000000007</v>
      </c>
      <c r="I125" t="str">
        <v>12-Dec</v>
      </c>
      <c r="L125" t="b">
        <v>0</v>
      </c>
      <c r="N125" t="b">
        <v>0</v>
      </c>
    </row>
    <row r="126" spans="1:14" x14ac:dyDescent="0.35">
      <c r="A126">
        <v>411.83</v>
      </c>
      <c r="B126">
        <v>5</v>
      </c>
      <c r="C126">
        <v>0.30309999999999998</v>
      </c>
      <c r="D126">
        <v>88.57</v>
      </c>
      <c r="F126" s="7">
        <f t="shared" si="2"/>
        <v>1435.0216350000003</v>
      </c>
      <c r="G126" s="8">
        <f t="shared" si="3"/>
        <v>712.69836499999997</v>
      </c>
      <c r="I126" t="str">
        <v>06-Jun</v>
      </c>
      <c r="L126" t="b">
        <v>0</v>
      </c>
      <c r="N126" t="b">
        <v>0</v>
      </c>
    </row>
    <row r="127" spans="1:14" x14ac:dyDescent="0.35">
      <c r="A127">
        <v>379.36</v>
      </c>
      <c r="B127">
        <v>5</v>
      </c>
      <c r="C127">
        <v>0.22829999999999998</v>
      </c>
      <c r="D127">
        <v>69.430000000000007</v>
      </c>
      <c r="F127" s="7">
        <f t="shared" si="2"/>
        <v>1463.7605600000002</v>
      </c>
      <c r="G127" s="8">
        <f t="shared" si="3"/>
        <v>502.46944000000002</v>
      </c>
      <c r="I127" t="str">
        <v>04-Apr</v>
      </c>
      <c r="L127" t="b">
        <v>0</v>
      </c>
      <c r="N127" t="b">
        <v>0</v>
      </c>
    </row>
    <row r="128" spans="1:14" x14ac:dyDescent="0.35">
      <c r="A128">
        <v>215.33</v>
      </c>
      <c r="B128">
        <v>4</v>
      </c>
      <c r="C128">
        <v>0.1507</v>
      </c>
      <c r="D128">
        <v>13.06</v>
      </c>
      <c r="F128" s="7">
        <f t="shared" si="2"/>
        <v>731.51907600000004</v>
      </c>
      <c r="G128" s="8">
        <f t="shared" si="3"/>
        <v>142.86092400000001</v>
      </c>
      <c r="I128" t="str">
        <v>10-Oct</v>
      </c>
      <c r="L128" t="b">
        <v>0</v>
      </c>
      <c r="N128" t="b">
        <v>0</v>
      </c>
    </row>
    <row r="129" spans="1:14" x14ac:dyDescent="0.35">
      <c r="A129">
        <v>155.02000000000001</v>
      </c>
      <c r="B129">
        <v>4</v>
      </c>
      <c r="C129">
        <v>2.7799999999999998E-2</v>
      </c>
      <c r="D129">
        <v>38.54</v>
      </c>
      <c r="F129" s="7">
        <f t="shared" si="2"/>
        <v>602.84177599999998</v>
      </c>
      <c r="G129" s="8">
        <f t="shared" si="3"/>
        <v>55.778223999999994</v>
      </c>
      <c r="I129" t="str">
        <v>12-Dec</v>
      </c>
      <c r="L129" t="b">
        <v>0</v>
      </c>
      <c r="N129" t="b">
        <v>0</v>
      </c>
    </row>
    <row r="130" spans="1:14" x14ac:dyDescent="0.35">
      <c r="A130">
        <v>116.6</v>
      </c>
      <c r="B130">
        <v>5</v>
      </c>
      <c r="C130">
        <v>0.23120000000000002</v>
      </c>
      <c r="D130">
        <v>33.74</v>
      </c>
      <c r="F130" s="7">
        <f t="shared" si="2"/>
        <v>448.21039999999994</v>
      </c>
      <c r="G130" s="8">
        <f t="shared" si="3"/>
        <v>168.52960000000002</v>
      </c>
      <c r="I130" t="str">
        <v>11-Nov</v>
      </c>
      <c r="L130" t="b">
        <v>0</v>
      </c>
      <c r="N130" t="b">
        <v>0</v>
      </c>
    </row>
    <row r="131" spans="1:14" x14ac:dyDescent="0.35">
      <c r="A131">
        <v>160.79</v>
      </c>
      <c r="B131">
        <v>3</v>
      </c>
      <c r="C131">
        <v>0.30730000000000002</v>
      </c>
      <c r="D131">
        <v>30.89</v>
      </c>
      <c r="F131" s="7">
        <f t="shared" ref="F131:F194" si="4">($A131*$B131)*(1-$C131)</f>
        <v>334.137699</v>
      </c>
      <c r="G131" s="8">
        <f t="shared" ref="G131:G194" si="5">D131+(A131*B131*C131)</f>
        <v>179.12230099999999</v>
      </c>
      <c r="I131" t="str">
        <v>03-Mar</v>
      </c>
      <c r="L131" t="b">
        <v>0</v>
      </c>
      <c r="N131" t="b">
        <v>0</v>
      </c>
    </row>
    <row r="132" spans="1:14" x14ac:dyDescent="0.35">
      <c r="A132">
        <v>355.73</v>
      </c>
      <c r="B132">
        <v>3</v>
      </c>
      <c r="C132">
        <v>0.29730000000000001</v>
      </c>
      <c r="D132">
        <v>62.04</v>
      </c>
      <c r="F132" s="7">
        <f t="shared" si="4"/>
        <v>749.91441300000008</v>
      </c>
      <c r="G132" s="8">
        <f t="shared" si="5"/>
        <v>379.31558700000005</v>
      </c>
      <c r="I132" t="str">
        <v>12-Dec</v>
      </c>
      <c r="L132" t="b">
        <v>0</v>
      </c>
      <c r="N132" t="b">
        <v>0</v>
      </c>
    </row>
    <row r="133" spans="1:14" x14ac:dyDescent="0.35">
      <c r="A133">
        <v>490.57</v>
      </c>
      <c r="B133">
        <v>4</v>
      </c>
      <c r="C133">
        <v>0.10589999999999999</v>
      </c>
      <c r="D133">
        <v>24.95</v>
      </c>
      <c r="F133" s="7">
        <f t="shared" si="4"/>
        <v>1754.4745479999999</v>
      </c>
      <c r="G133" s="8">
        <f t="shared" si="5"/>
        <v>232.75545199999996</v>
      </c>
      <c r="I133" t="str">
        <v>07-Jul</v>
      </c>
      <c r="L133" t="b">
        <v>0</v>
      </c>
      <c r="N133" t="b">
        <v>0</v>
      </c>
    </row>
    <row r="134" spans="1:14" x14ac:dyDescent="0.35">
      <c r="A134">
        <v>483.51</v>
      </c>
      <c r="B134">
        <v>4</v>
      </c>
      <c r="C134">
        <v>9.0299999999999991E-2</v>
      </c>
      <c r="D134">
        <v>82.76</v>
      </c>
      <c r="F134" s="7">
        <f t="shared" si="4"/>
        <v>1759.3961879999999</v>
      </c>
      <c r="G134" s="8">
        <f t="shared" si="5"/>
        <v>257.40381199999996</v>
      </c>
      <c r="I134" t="str">
        <v>08-Aug</v>
      </c>
      <c r="L134" t="b">
        <v>0</v>
      </c>
      <c r="N134" t="b">
        <v>0</v>
      </c>
    </row>
    <row r="135" spans="1:14" x14ac:dyDescent="0.35">
      <c r="A135">
        <v>56.27</v>
      </c>
      <c r="B135">
        <v>3</v>
      </c>
      <c r="C135">
        <v>0.1056</v>
      </c>
      <c r="D135">
        <v>63.13</v>
      </c>
      <c r="F135" s="7">
        <f t="shared" si="4"/>
        <v>150.983664</v>
      </c>
      <c r="G135" s="8">
        <f t="shared" si="5"/>
        <v>80.956336000000007</v>
      </c>
      <c r="I135" t="str">
        <v>10-Oct</v>
      </c>
      <c r="L135" t="b">
        <v>0</v>
      </c>
      <c r="N135" t="b">
        <v>0</v>
      </c>
    </row>
    <row r="136" spans="1:14" x14ac:dyDescent="0.35">
      <c r="A136">
        <v>373.46</v>
      </c>
      <c r="B136">
        <v>5</v>
      </c>
      <c r="C136">
        <v>0.42619999999999997</v>
      </c>
      <c r="D136">
        <v>30.24</v>
      </c>
      <c r="F136" s="7">
        <f t="shared" si="4"/>
        <v>1071.4567400000001</v>
      </c>
      <c r="G136" s="8">
        <f t="shared" si="5"/>
        <v>826.08325999999988</v>
      </c>
      <c r="I136" t="str">
        <v>08-Aug</v>
      </c>
      <c r="L136" t="b">
        <v>0</v>
      </c>
      <c r="N136" t="b">
        <v>0</v>
      </c>
    </row>
    <row r="137" spans="1:14" x14ac:dyDescent="0.35">
      <c r="A137">
        <v>452.53</v>
      </c>
      <c r="B137">
        <v>4</v>
      </c>
      <c r="C137">
        <v>0.32200000000000001</v>
      </c>
      <c r="D137">
        <v>96.68</v>
      </c>
      <c r="F137" s="7">
        <f t="shared" si="4"/>
        <v>1227.2613599999997</v>
      </c>
      <c r="G137" s="8">
        <f t="shared" si="5"/>
        <v>679.53863999999999</v>
      </c>
      <c r="I137" t="str">
        <v>11-Nov</v>
      </c>
      <c r="L137" t="b">
        <v>0</v>
      </c>
      <c r="N137" t="b">
        <v>0</v>
      </c>
    </row>
    <row r="138" spans="1:14" x14ac:dyDescent="0.35">
      <c r="A138">
        <v>310.3</v>
      </c>
      <c r="B138">
        <v>4</v>
      </c>
      <c r="C138">
        <v>0.26829999999999998</v>
      </c>
      <c r="D138">
        <v>96.83</v>
      </c>
      <c r="F138" s="7">
        <f t="shared" si="4"/>
        <v>908.18604000000005</v>
      </c>
      <c r="G138" s="8">
        <f t="shared" si="5"/>
        <v>429.84395999999998</v>
      </c>
      <c r="I138" t="str">
        <v>03-Mar</v>
      </c>
      <c r="L138" t="b">
        <v>0</v>
      </c>
      <c r="N138" t="b">
        <v>0</v>
      </c>
    </row>
    <row r="139" spans="1:14" x14ac:dyDescent="0.35">
      <c r="A139">
        <v>267.58999999999997</v>
      </c>
      <c r="B139">
        <v>3</v>
      </c>
      <c r="C139">
        <v>6.0599999999999994E-2</v>
      </c>
      <c r="D139">
        <v>89.15</v>
      </c>
      <c r="F139" s="7">
        <f t="shared" si="4"/>
        <v>754.12213799999995</v>
      </c>
      <c r="G139" s="8">
        <f t="shared" si="5"/>
        <v>137.79786200000001</v>
      </c>
      <c r="I139" t="str">
        <v>11-Nov</v>
      </c>
      <c r="L139" t="b">
        <v>0</v>
      </c>
      <c r="N139" t="b">
        <v>0</v>
      </c>
    </row>
    <row r="140" spans="1:14" x14ac:dyDescent="0.35">
      <c r="A140">
        <v>278.95999999999998</v>
      </c>
      <c r="B140">
        <v>3</v>
      </c>
      <c r="C140">
        <v>0.14230000000000001</v>
      </c>
      <c r="D140">
        <v>10.19</v>
      </c>
      <c r="F140" s="7">
        <f t="shared" si="4"/>
        <v>717.79197599999986</v>
      </c>
      <c r="G140" s="8">
        <f t="shared" si="5"/>
        <v>129.27802399999999</v>
      </c>
      <c r="I140" t="str">
        <v>09-Sep</v>
      </c>
      <c r="L140" t="b">
        <v>0</v>
      </c>
      <c r="N140" t="b">
        <v>0</v>
      </c>
    </row>
    <row r="141" spans="1:14" x14ac:dyDescent="0.35">
      <c r="A141">
        <v>285.29000000000002</v>
      </c>
      <c r="B141">
        <v>3</v>
      </c>
      <c r="C141">
        <v>0.29449999999999998</v>
      </c>
      <c r="D141">
        <v>88.71</v>
      </c>
      <c r="F141" s="7">
        <f t="shared" si="4"/>
        <v>603.81628500000011</v>
      </c>
      <c r="G141" s="8">
        <f t="shared" si="5"/>
        <v>340.76371499999999</v>
      </c>
      <c r="I141" t="str">
        <v>05-May</v>
      </c>
      <c r="L141" t="b">
        <v>0</v>
      </c>
      <c r="N141" t="b">
        <v>0</v>
      </c>
    </row>
    <row r="142" spans="1:14" x14ac:dyDescent="0.35">
      <c r="A142">
        <v>379.88</v>
      </c>
      <c r="B142">
        <v>3</v>
      </c>
      <c r="C142">
        <v>2.7999999999999997E-2</v>
      </c>
      <c r="D142">
        <v>73.73</v>
      </c>
      <c r="F142" s="7">
        <f t="shared" si="4"/>
        <v>1107.7300799999998</v>
      </c>
      <c r="G142" s="8">
        <f t="shared" si="5"/>
        <v>105.63991999999999</v>
      </c>
      <c r="I142" t="str">
        <v>10-Oct</v>
      </c>
      <c r="L142" t="b">
        <v>0</v>
      </c>
      <c r="N142" t="b">
        <v>0</v>
      </c>
    </row>
    <row r="143" spans="1:14" x14ac:dyDescent="0.35">
      <c r="A143">
        <v>102.86</v>
      </c>
      <c r="B143">
        <v>5</v>
      </c>
      <c r="C143">
        <v>0.21179999999999999</v>
      </c>
      <c r="D143">
        <v>36.79</v>
      </c>
      <c r="F143" s="7">
        <f t="shared" si="4"/>
        <v>405.37125999999995</v>
      </c>
      <c r="G143" s="8">
        <f t="shared" si="5"/>
        <v>145.71874</v>
      </c>
      <c r="I143" t="str">
        <v>11-Nov</v>
      </c>
      <c r="L143" t="b">
        <v>0</v>
      </c>
      <c r="N143" t="b">
        <v>0</v>
      </c>
    </row>
    <row r="144" spans="1:14" x14ac:dyDescent="0.35">
      <c r="A144">
        <v>232.47</v>
      </c>
      <c r="B144">
        <v>5</v>
      </c>
      <c r="C144">
        <v>0.25340000000000001</v>
      </c>
      <c r="D144">
        <v>42.56</v>
      </c>
      <c r="F144" s="7">
        <f t="shared" si="4"/>
        <v>867.81050999999979</v>
      </c>
      <c r="G144" s="8">
        <f t="shared" si="5"/>
        <v>337.09949</v>
      </c>
      <c r="I144" t="str">
        <v>07-Jul</v>
      </c>
      <c r="L144" t="b">
        <v>0</v>
      </c>
      <c r="N144" t="b">
        <v>0</v>
      </c>
    </row>
    <row r="145" spans="1:14" x14ac:dyDescent="0.35">
      <c r="A145">
        <v>325.22000000000003</v>
      </c>
      <c r="B145">
        <v>4</v>
      </c>
      <c r="C145">
        <v>0.2482</v>
      </c>
      <c r="D145">
        <v>38.71</v>
      </c>
      <c r="F145" s="7">
        <f t="shared" si="4"/>
        <v>978.00158400000009</v>
      </c>
      <c r="G145" s="8">
        <f t="shared" si="5"/>
        <v>361.588416</v>
      </c>
      <c r="I145" t="str">
        <v>05-May</v>
      </c>
      <c r="L145" t="b">
        <v>0</v>
      </c>
      <c r="N145" t="b">
        <v>0</v>
      </c>
    </row>
    <row r="146" spans="1:14" x14ac:dyDescent="0.35">
      <c r="A146">
        <v>309.36</v>
      </c>
      <c r="B146">
        <v>3</v>
      </c>
      <c r="C146">
        <v>0.28010000000000002</v>
      </c>
      <c r="D146">
        <v>54.61</v>
      </c>
      <c r="F146" s="7">
        <f t="shared" si="4"/>
        <v>668.12479200000007</v>
      </c>
      <c r="G146" s="8">
        <f t="shared" si="5"/>
        <v>314.56520800000004</v>
      </c>
      <c r="I146" t="str">
        <v>09-Sep</v>
      </c>
      <c r="L146" t="b">
        <v>0</v>
      </c>
      <c r="N146" t="b">
        <v>0</v>
      </c>
    </row>
    <row r="147" spans="1:14" x14ac:dyDescent="0.35">
      <c r="A147">
        <v>185.77</v>
      </c>
      <c r="B147">
        <v>4</v>
      </c>
      <c r="C147">
        <v>0.22149999999999997</v>
      </c>
      <c r="D147">
        <v>39.43</v>
      </c>
      <c r="F147" s="7">
        <f t="shared" si="4"/>
        <v>578.48778000000004</v>
      </c>
      <c r="G147" s="8">
        <f t="shared" si="5"/>
        <v>204.02222</v>
      </c>
      <c r="I147" t="str">
        <v>08-Aug</v>
      </c>
      <c r="L147" t="b">
        <v>0</v>
      </c>
      <c r="N147" t="b">
        <v>0</v>
      </c>
    </row>
    <row r="148" spans="1:14" x14ac:dyDescent="0.35">
      <c r="A148">
        <v>173.65</v>
      </c>
      <c r="B148">
        <v>5</v>
      </c>
      <c r="C148">
        <v>0.115</v>
      </c>
      <c r="D148">
        <v>41.38</v>
      </c>
      <c r="F148" s="7">
        <f t="shared" si="4"/>
        <v>768.40125</v>
      </c>
      <c r="G148" s="8">
        <f t="shared" si="5"/>
        <v>141.22875000000002</v>
      </c>
      <c r="I148" t="str">
        <v>11-Nov</v>
      </c>
      <c r="L148" t="b">
        <v>0</v>
      </c>
      <c r="N148" t="b">
        <v>0</v>
      </c>
    </row>
    <row r="149" spans="1:14" x14ac:dyDescent="0.35">
      <c r="A149">
        <v>160.83000000000001</v>
      </c>
      <c r="B149">
        <v>5</v>
      </c>
      <c r="C149">
        <v>5.0900000000000001E-2</v>
      </c>
      <c r="D149">
        <v>98.86</v>
      </c>
      <c r="F149" s="7">
        <f t="shared" si="4"/>
        <v>763.21876500000008</v>
      </c>
      <c r="G149" s="8">
        <f t="shared" si="5"/>
        <v>139.791235</v>
      </c>
      <c r="I149" t="str">
        <v>07-Jul</v>
      </c>
      <c r="L149" t="b">
        <v>0</v>
      </c>
      <c r="N149" t="b">
        <v>0</v>
      </c>
    </row>
    <row r="150" spans="1:14" x14ac:dyDescent="0.35">
      <c r="A150">
        <v>443.19</v>
      </c>
      <c r="B150">
        <v>5</v>
      </c>
      <c r="C150">
        <v>0.3518</v>
      </c>
      <c r="D150">
        <v>45.99</v>
      </c>
      <c r="F150" s="7">
        <f t="shared" si="4"/>
        <v>1436.37879</v>
      </c>
      <c r="G150" s="8">
        <f t="shared" si="5"/>
        <v>825.56120999999996</v>
      </c>
      <c r="I150" t="str">
        <v>06-Jun</v>
      </c>
      <c r="L150" t="b">
        <v>0</v>
      </c>
      <c r="N150" t="b">
        <v>0</v>
      </c>
    </row>
    <row r="151" spans="1:14" x14ac:dyDescent="0.35">
      <c r="A151">
        <v>155.99</v>
      </c>
      <c r="B151">
        <v>3</v>
      </c>
      <c r="C151">
        <v>0.4451</v>
      </c>
      <c r="D151">
        <v>99.07</v>
      </c>
      <c r="F151" s="7">
        <f t="shared" si="4"/>
        <v>259.67655300000001</v>
      </c>
      <c r="G151" s="8">
        <f t="shared" si="5"/>
        <v>307.36344700000001</v>
      </c>
      <c r="I151" t="str">
        <v>08-Aug</v>
      </c>
      <c r="L151" t="b">
        <v>0</v>
      </c>
      <c r="N151" t="b">
        <v>0</v>
      </c>
    </row>
    <row r="152" spans="1:14" x14ac:dyDescent="0.35">
      <c r="A152">
        <v>362.46</v>
      </c>
      <c r="B152">
        <v>3</v>
      </c>
      <c r="C152">
        <v>0.20149999999999998</v>
      </c>
      <c r="D152">
        <v>13.07</v>
      </c>
      <c r="F152" s="7">
        <f t="shared" si="4"/>
        <v>868.27292999999986</v>
      </c>
      <c r="G152" s="8">
        <f t="shared" si="5"/>
        <v>232.17706999999996</v>
      </c>
      <c r="I152" t="str">
        <v>08-Aug</v>
      </c>
      <c r="L152" t="b">
        <v>0</v>
      </c>
      <c r="N152" t="b">
        <v>0</v>
      </c>
    </row>
    <row r="153" spans="1:14" x14ac:dyDescent="0.35">
      <c r="A153">
        <v>387.27</v>
      </c>
      <c r="B153">
        <v>4</v>
      </c>
      <c r="C153">
        <v>0.31269999999999998</v>
      </c>
      <c r="D153">
        <v>64.59</v>
      </c>
      <c r="F153" s="7">
        <f t="shared" si="4"/>
        <v>1064.6826839999999</v>
      </c>
      <c r="G153" s="8">
        <f t="shared" si="5"/>
        <v>548.98731599999996</v>
      </c>
      <c r="I153" t="str">
        <v>07-Jul</v>
      </c>
      <c r="L153" t="b">
        <v>0</v>
      </c>
      <c r="N153" t="b">
        <v>0</v>
      </c>
    </row>
    <row r="154" spans="1:14" x14ac:dyDescent="0.35">
      <c r="A154">
        <v>259.99</v>
      </c>
      <c r="B154">
        <v>5</v>
      </c>
      <c r="C154">
        <v>0.215</v>
      </c>
      <c r="D154">
        <v>48.07</v>
      </c>
      <c r="F154" s="7">
        <f t="shared" si="4"/>
        <v>1020.4607500000001</v>
      </c>
      <c r="G154" s="8">
        <f t="shared" si="5"/>
        <v>327.55925000000002</v>
      </c>
      <c r="I154" t="str">
        <v>12-Dec</v>
      </c>
      <c r="L154" t="b">
        <v>0</v>
      </c>
      <c r="N154" t="b">
        <v>0</v>
      </c>
    </row>
    <row r="155" spans="1:14" x14ac:dyDescent="0.35">
      <c r="A155">
        <v>74.27</v>
      </c>
      <c r="B155">
        <v>5</v>
      </c>
      <c r="C155">
        <v>0.249</v>
      </c>
      <c r="D155">
        <v>45.59</v>
      </c>
      <c r="F155" s="7">
        <f t="shared" si="4"/>
        <v>278.88385</v>
      </c>
      <c r="G155" s="8">
        <f t="shared" si="5"/>
        <v>138.05615</v>
      </c>
      <c r="I155" t="str">
        <v>06-Jun</v>
      </c>
      <c r="L155" t="b">
        <v>0</v>
      </c>
      <c r="N155" t="b">
        <v>0</v>
      </c>
    </row>
    <row r="156" spans="1:14" x14ac:dyDescent="0.35">
      <c r="A156">
        <v>264.3</v>
      </c>
      <c r="B156">
        <v>5</v>
      </c>
      <c r="C156">
        <v>5.3899999999999997E-2</v>
      </c>
      <c r="D156">
        <v>22.33</v>
      </c>
      <c r="F156" s="7">
        <f t="shared" si="4"/>
        <v>1250.27115</v>
      </c>
      <c r="G156" s="8">
        <f t="shared" si="5"/>
        <v>93.558849999999993</v>
      </c>
      <c r="I156" t="str">
        <v>11-Nov</v>
      </c>
      <c r="L156" t="b">
        <v>0</v>
      </c>
      <c r="N156" t="b">
        <v>0</v>
      </c>
    </row>
    <row r="157" spans="1:14" x14ac:dyDescent="0.35">
      <c r="A157">
        <v>141.32</v>
      </c>
      <c r="B157">
        <v>3</v>
      </c>
      <c r="C157">
        <v>0.19469999999999998</v>
      </c>
      <c r="D157">
        <v>92.44</v>
      </c>
      <c r="F157" s="7">
        <f t="shared" si="4"/>
        <v>341.41498799999999</v>
      </c>
      <c r="G157" s="8">
        <f t="shared" si="5"/>
        <v>174.98501199999998</v>
      </c>
      <c r="I157" t="str">
        <v>05-May</v>
      </c>
      <c r="L157" t="b">
        <v>0</v>
      </c>
      <c r="N157" t="b">
        <v>0</v>
      </c>
    </row>
    <row r="158" spans="1:14" x14ac:dyDescent="0.35">
      <c r="A158">
        <v>240.44</v>
      </c>
      <c r="B158">
        <v>5</v>
      </c>
      <c r="C158">
        <v>0.35759999999999997</v>
      </c>
      <c r="D158">
        <v>99.66</v>
      </c>
      <c r="F158" s="7">
        <f t="shared" si="4"/>
        <v>772.2932800000001</v>
      </c>
      <c r="G158" s="8">
        <f t="shared" si="5"/>
        <v>529.56672000000003</v>
      </c>
      <c r="I158" t="str">
        <v>08-Aug</v>
      </c>
      <c r="L158" t="b">
        <v>0</v>
      </c>
      <c r="N158" t="b">
        <v>0</v>
      </c>
    </row>
    <row r="159" spans="1:14" x14ac:dyDescent="0.35">
      <c r="A159">
        <v>77.13</v>
      </c>
      <c r="B159">
        <v>5</v>
      </c>
      <c r="C159">
        <v>0.4985</v>
      </c>
      <c r="D159">
        <v>59.62</v>
      </c>
      <c r="F159" s="7">
        <f t="shared" si="4"/>
        <v>193.40347500000001</v>
      </c>
      <c r="G159" s="8">
        <f t="shared" si="5"/>
        <v>251.866525</v>
      </c>
      <c r="I159" t="str">
        <v>02-Feb</v>
      </c>
      <c r="L159" t="b">
        <v>0</v>
      </c>
      <c r="N159" t="b">
        <v>0</v>
      </c>
    </row>
    <row r="160" spans="1:14" x14ac:dyDescent="0.35">
      <c r="A160">
        <v>372.63</v>
      </c>
      <c r="B160">
        <v>5</v>
      </c>
      <c r="C160">
        <v>0.1986</v>
      </c>
      <c r="D160">
        <v>12.08</v>
      </c>
      <c r="F160" s="7">
        <f t="shared" si="4"/>
        <v>1493.12841</v>
      </c>
      <c r="G160" s="8">
        <f t="shared" si="5"/>
        <v>382.10158999999999</v>
      </c>
      <c r="I160" t="str">
        <v>10-Oct</v>
      </c>
      <c r="L160" t="b">
        <v>0</v>
      </c>
      <c r="N160" t="b">
        <v>0</v>
      </c>
    </row>
    <row r="161" spans="1:14" x14ac:dyDescent="0.35">
      <c r="A161">
        <v>326.11</v>
      </c>
      <c r="B161">
        <v>4</v>
      </c>
      <c r="C161">
        <v>0.12119999999999999</v>
      </c>
      <c r="D161">
        <v>22.36</v>
      </c>
      <c r="F161" s="7">
        <f t="shared" si="4"/>
        <v>1146.3418720000002</v>
      </c>
      <c r="G161" s="8">
        <f t="shared" si="5"/>
        <v>180.45812799999999</v>
      </c>
      <c r="I161" t="str">
        <v>04-Apr</v>
      </c>
      <c r="L161" t="b">
        <v>0</v>
      </c>
      <c r="N161" t="b">
        <v>0</v>
      </c>
    </row>
    <row r="162" spans="1:14" x14ac:dyDescent="0.35">
      <c r="A162">
        <v>286.44</v>
      </c>
      <c r="B162">
        <v>3</v>
      </c>
      <c r="C162">
        <v>0.17629999999999998</v>
      </c>
      <c r="D162">
        <v>39.92</v>
      </c>
      <c r="F162" s="7">
        <f t="shared" si="4"/>
        <v>707.82188399999995</v>
      </c>
      <c r="G162" s="8">
        <f t="shared" si="5"/>
        <v>191.418116</v>
      </c>
      <c r="I162" t="str">
        <v>10-Oct</v>
      </c>
      <c r="L162" t="b">
        <v>0</v>
      </c>
      <c r="N162" t="b">
        <v>0</v>
      </c>
    </row>
    <row r="163" spans="1:14" x14ac:dyDescent="0.35">
      <c r="A163">
        <v>397.48</v>
      </c>
      <c r="B163">
        <v>3</v>
      </c>
      <c r="C163">
        <v>0.14630000000000001</v>
      </c>
      <c r="D163">
        <v>19.07</v>
      </c>
      <c r="F163" s="7">
        <f t="shared" si="4"/>
        <v>1017.986028</v>
      </c>
      <c r="G163" s="8">
        <f t="shared" si="5"/>
        <v>193.52397200000001</v>
      </c>
      <c r="I163" t="str">
        <v>05-May</v>
      </c>
      <c r="L163" t="b">
        <v>0</v>
      </c>
      <c r="N163" t="b">
        <v>0</v>
      </c>
    </row>
    <row r="164" spans="1:14" x14ac:dyDescent="0.35">
      <c r="A164">
        <v>291.64</v>
      </c>
      <c r="B164">
        <v>5</v>
      </c>
      <c r="C164">
        <v>4.3899999999999995E-2</v>
      </c>
      <c r="D164">
        <v>24.51</v>
      </c>
      <c r="F164" s="7">
        <f t="shared" si="4"/>
        <v>1394.1850199999997</v>
      </c>
      <c r="G164" s="8">
        <f t="shared" si="5"/>
        <v>88.524979999999985</v>
      </c>
      <c r="I164" t="str">
        <v>05-May</v>
      </c>
      <c r="L164" t="b">
        <v>0</v>
      </c>
      <c r="N164" t="b">
        <v>0</v>
      </c>
    </row>
    <row r="165" spans="1:14" x14ac:dyDescent="0.35">
      <c r="A165">
        <v>188.79</v>
      </c>
      <c r="B165">
        <v>3</v>
      </c>
      <c r="C165">
        <v>4.4000000000000004E-2</v>
      </c>
      <c r="D165">
        <v>81.17</v>
      </c>
      <c r="F165" s="7">
        <f t="shared" si="4"/>
        <v>541.44971999999996</v>
      </c>
      <c r="G165" s="8">
        <f t="shared" si="5"/>
        <v>106.09028000000001</v>
      </c>
      <c r="I165" t="str">
        <v>07-Jul</v>
      </c>
      <c r="L165" t="b">
        <v>0</v>
      </c>
      <c r="N165" t="b">
        <v>0</v>
      </c>
    </row>
    <row r="166" spans="1:14" x14ac:dyDescent="0.35">
      <c r="A166">
        <v>465.23</v>
      </c>
      <c r="B166">
        <v>3</v>
      </c>
      <c r="C166">
        <v>0.12140000000000001</v>
      </c>
      <c r="D166">
        <v>78.41</v>
      </c>
      <c r="F166" s="7">
        <f t="shared" si="4"/>
        <v>1226.253234</v>
      </c>
      <c r="G166" s="8">
        <f t="shared" si="5"/>
        <v>247.846766</v>
      </c>
      <c r="I166" t="str">
        <v>10-Oct</v>
      </c>
      <c r="L166" t="b">
        <v>0</v>
      </c>
      <c r="N166" t="b">
        <v>0</v>
      </c>
    </row>
    <row r="167" spans="1:14" x14ac:dyDescent="0.35">
      <c r="A167">
        <v>56.48</v>
      </c>
      <c r="B167">
        <v>3</v>
      </c>
      <c r="C167">
        <v>0.28470000000000001</v>
      </c>
      <c r="D167">
        <v>90.19</v>
      </c>
      <c r="F167" s="7">
        <f t="shared" si="4"/>
        <v>121.20043200000001</v>
      </c>
      <c r="G167" s="8">
        <f t="shared" si="5"/>
        <v>138.42956799999999</v>
      </c>
      <c r="I167" t="str">
        <v>10-Oct</v>
      </c>
      <c r="L167" t="b">
        <v>0</v>
      </c>
      <c r="N167" t="b">
        <v>0</v>
      </c>
    </row>
    <row r="168" spans="1:14" x14ac:dyDescent="0.35">
      <c r="A168">
        <v>339.58</v>
      </c>
      <c r="B168">
        <v>4</v>
      </c>
      <c r="C168">
        <v>8.3499999999999991E-2</v>
      </c>
      <c r="D168">
        <v>51.59</v>
      </c>
      <c r="F168" s="7">
        <f t="shared" si="4"/>
        <v>1244.9002799999998</v>
      </c>
      <c r="G168" s="8">
        <f t="shared" si="5"/>
        <v>165.00971999999999</v>
      </c>
      <c r="I168" t="str">
        <v>02-Feb</v>
      </c>
      <c r="L168" t="b">
        <v>0</v>
      </c>
      <c r="N168" t="b">
        <v>0</v>
      </c>
    </row>
    <row r="169" spans="1:14" x14ac:dyDescent="0.35">
      <c r="A169">
        <v>436.78</v>
      </c>
      <c r="B169">
        <v>3</v>
      </c>
      <c r="C169">
        <v>0.47810000000000002</v>
      </c>
      <c r="D169">
        <v>68.89</v>
      </c>
      <c r="F169" s="7">
        <f t="shared" si="4"/>
        <v>683.866446</v>
      </c>
      <c r="G169" s="8">
        <f t="shared" si="5"/>
        <v>695.36355400000002</v>
      </c>
      <c r="I169" t="str">
        <v>07-Jul</v>
      </c>
      <c r="L169" t="b">
        <v>0</v>
      </c>
      <c r="N169" t="b">
        <v>0</v>
      </c>
    </row>
    <row r="170" spans="1:14" x14ac:dyDescent="0.35">
      <c r="A170">
        <v>376.34</v>
      </c>
      <c r="B170">
        <v>4</v>
      </c>
      <c r="C170">
        <v>0.32640000000000002</v>
      </c>
      <c r="D170">
        <v>92.42</v>
      </c>
      <c r="F170" s="7">
        <f t="shared" si="4"/>
        <v>1014.0104959999999</v>
      </c>
      <c r="G170" s="8">
        <f t="shared" si="5"/>
        <v>583.76950399999998</v>
      </c>
      <c r="I170" t="str">
        <v>04-Apr</v>
      </c>
      <c r="L170" t="b">
        <v>0</v>
      </c>
      <c r="N170" t="b">
        <v>0</v>
      </c>
    </row>
    <row r="171" spans="1:14" x14ac:dyDescent="0.35">
      <c r="A171">
        <v>194.79</v>
      </c>
      <c r="B171">
        <v>3</v>
      </c>
      <c r="C171">
        <v>3.1E-2</v>
      </c>
      <c r="D171">
        <v>48.45</v>
      </c>
      <c r="F171" s="7">
        <f t="shared" si="4"/>
        <v>566.25452999999993</v>
      </c>
      <c r="G171" s="8">
        <f t="shared" si="5"/>
        <v>66.565470000000005</v>
      </c>
      <c r="I171" t="str">
        <v>04-Apr</v>
      </c>
      <c r="L171" t="b">
        <v>0</v>
      </c>
      <c r="N171" t="b">
        <v>0</v>
      </c>
    </row>
    <row r="172" spans="1:14" x14ac:dyDescent="0.35">
      <c r="A172">
        <v>439.1</v>
      </c>
      <c r="B172">
        <v>3</v>
      </c>
      <c r="C172">
        <v>0.32780000000000004</v>
      </c>
      <c r="D172">
        <v>55.55</v>
      </c>
      <c r="F172" s="7">
        <f t="shared" si="4"/>
        <v>885.48905999999999</v>
      </c>
      <c r="G172" s="8">
        <f t="shared" si="5"/>
        <v>487.36094000000014</v>
      </c>
      <c r="I172" t="str">
        <v>01-Jan</v>
      </c>
      <c r="L172" t="b">
        <v>1</v>
      </c>
      <c r="N172" t="b">
        <v>0</v>
      </c>
    </row>
    <row r="173" spans="1:14" x14ac:dyDescent="0.35">
      <c r="A173">
        <v>491.43</v>
      </c>
      <c r="B173">
        <v>5</v>
      </c>
      <c r="C173">
        <v>0.45840000000000003</v>
      </c>
      <c r="D173">
        <v>74.599999999999994</v>
      </c>
      <c r="F173" s="7">
        <f t="shared" si="4"/>
        <v>1330.7924399999999</v>
      </c>
      <c r="G173" s="8">
        <f t="shared" si="5"/>
        <v>1200.9575600000001</v>
      </c>
      <c r="I173" t="str">
        <v>09-Sep</v>
      </c>
      <c r="L173" t="b">
        <v>0</v>
      </c>
      <c r="N173" t="b">
        <v>0</v>
      </c>
    </row>
    <row r="174" spans="1:14" x14ac:dyDescent="0.35">
      <c r="A174">
        <v>79.38</v>
      </c>
      <c r="B174">
        <v>4</v>
      </c>
      <c r="C174">
        <v>0.30930000000000002</v>
      </c>
      <c r="D174">
        <v>67.98</v>
      </c>
      <c r="F174" s="7">
        <f t="shared" si="4"/>
        <v>219.31106399999999</v>
      </c>
      <c r="G174" s="8">
        <f t="shared" si="5"/>
        <v>166.18893600000001</v>
      </c>
      <c r="I174" t="str">
        <v>03-Mar</v>
      </c>
      <c r="L174" t="b">
        <v>0</v>
      </c>
      <c r="N174" t="b">
        <v>0</v>
      </c>
    </row>
    <row r="175" spans="1:14" x14ac:dyDescent="0.35">
      <c r="A175">
        <v>142.65</v>
      </c>
      <c r="B175">
        <v>4</v>
      </c>
      <c r="C175">
        <v>6.4899999999999999E-2</v>
      </c>
      <c r="D175">
        <v>63.63</v>
      </c>
      <c r="F175" s="7">
        <f t="shared" si="4"/>
        <v>533.56806000000006</v>
      </c>
      <c r="G175" s="8">
        <f t="shared" si="5"/>
        <v>100.66194</v>
      </c>
      <c r="I175" t="str">
        <v>01-Jan</v>
      </c>
      <c r="L175" t="b">
        <v>1</v>
      </c>
      <c r="N175" t="b">
        <v>0</v>
      </c>
    </row>
    <row r="176" spans="1:14" x14ac:dyDescent="0.35">
      <c r="A176">
        <v>182.51</v>
      </c>
      <c r="B176">
        <v>3</v>
      </c>
      <c r="C176">
        <v>0.37130000000000002</v>
      </c>
      <c r="D176">
        <v>40.79</v>
      </c>
      <c r="F176" s="7">
        <f t="shared" si="4"/>
        <v>344.23211099999997</v>
      </c>
      <c r="G176" s="8">
        <f t="shared" si="5"/>
        <v>244.08788899999999</v>
      </c>
      <c r="I176" t="str">
        <v>02-Feb</v>
      </c>
      <c r="L176" t="b">
        <v>0</v>
      </c>
      <c r="N176" t="b">
        <v>0</v>
      </c>
    </row>
    <row r="177" spans="1:14" x14ac:dyDescent="0.35">
      <c r="A177">
        <v>93.92</v>
      </c>
      <c r="B177">
        <v>3</v>
      </c>
      <c r="C177">
        <v>0.13639999999999999</v>
      </c>
      <c r="D177">
        <v>23.93</v>
      </c>
      <c r="F177" s="7">
        <f t="shared" si="4"/>
        <v>243.32793599999999</v>
      </c>
      <c r="G177" s="8">
        <f t="shared" si="5"/>
        <v>62.362063999999997</v>
      </c>
      <c r="I177" t="str">
        <v>10-Oct</v>
      </c>
      <c r="L177" t="b">
        <v>0</v>
      </c>
      <c r="N177" t="b">
        <v>0</v>
      </c>
    </row>
    <row r="178" spans="1:14" x14ac:dyDescent="0.35">
      <c r="A178">
        <v>269.75</v>
      </c>
      <c r="B178">
        <v>5</v>
      </c>
      <c r="C178">
        <v>0.14349999999999999</v>
      </c>
      <c r="D178">
        <v>41.54</v>
      </c>
      <c r="F178" s="7">
        <f t="shared" si="4"/>
        <v>1155.204375</v>
      </c>
      <c r="G178" s="8">
        <f t="shared" si="5"/>
        <v>235.08562499999996</v>
      </c>
      <c r="I178" t="str">
        <v>08-Aug</v>
      </c>
      <c r="L178" t="b">
        <v>0</v>
      </c>
      <c r="N178" t="b">
        <v>0</v>
      </c>
    </row>
    <row r="179" spans="1:14" x14ac:dyDescent="0.35">
      <c r="A179">
        <v>293.45</v>
      </c>
      <c r="B179">
        <v>3</v>
      </c>
      <c r="C179">
        <v>0.2026</v>
      </c>
      <c r="D179">
        <v>57.88</v>
      </c>
      <c r="F179" s="7">
        <f t="shared" si="4"/>
        <v>701.99108999999987</v>
      </c>
      <c r="G179" s="8">
        <f t="shared" si="5"/>
        <v>236.23890999999998</v>
      </c>
      <c r="I179" t="str">
        <v>12-Dec</v>
      </c>
      <c r="L179" t="b">
        <v>0</v>
      </c>
      <c r="N179" t="b">
        <v>0</v>
      </c>
    </row>
    <row r="180" spans="1:14" x14ac:dyDescent="0.35">
      <c r="A180">
        <v>336.19</v>
      </c>
      <c r="B180">
        <v>3</v>
      </c>
      <c r="C180">
        <v>0.19829999999999998</v>
      </c>
      <c r="D180">
        <v>96.78</v>
      </c>
      <c r="F180" s="7">
        <f t="shared" si="4"/>
        <v>808.57056899999998</v>
      </c>
      <c r="G180" s="8">
        <f t="shared" si="5"/>
        <v>296.77943099999993</v>
      </c>
      <c r="I180" t="str">
        <v>09-Sep</v>
      </c>
      <c r="L180" t="b">
        <v>0</v>
      </c>
      <c r="N180" t="b">
        <v>0</v>
      </c>
    </row>
    <row r="181" spans="1:14" x14ac:dyDescent="0.35">
      <c r="A181">
        <v>150.26</v>
      </c>
      <c r="B181">
        <v>3</v>
      </c>
      <c r="C181">
        <v>5.1500000000000004E-2</v>
      </c>
      <c r="D181">
        <v>91.95</v>
      </c>
      <c r="F181" s="7">
        <f t="shared" si="4"/>
        <v>427.56482999999997</v>
      </c>
      <c r="G181" s="8">
        <f t="shared" si="5"/>
        <v>115.16517</v>
      </c>
      <c r="I181" t="str">
        <v>07-Jul</v>
      </c>
      <c r="L181" t="b">
        <v>0</v>
      </c>
      <c r="N181" t="b">
        <v>0</v>
      </c>
    </row>
    <row r="182" spans="1:14" x14ac:dyDescent="0.35">
      <c r="A182">
        <v>479.82</v>
      </c>
      <c r="B182">
        <v>3</v>
      </c>
      <c r="C182">
        <v>0.218</v>
      </c>
      <c r="D182">
        <v>17.32</v>
      </c>
      <c r="F182" s="7">
        <f t="shared" si="4"/>
        <v>1125.6577200000002</v>
      </c>
      <c r="G182" s="8">
        <f t="shared" si="5"/>
        <v>331.12227999999999</v>
      </c>
      <c r="I182" t="str">
        <v>01-Jan</v>
      </c>
      <c r="L182" t="b">
        <v>1</v>
      </c>
      <c r="N182" t="b">
        <v>0</v>
      </c>
    </row>
    <row r="183" spans="1:14" x14ac:dyDescent="0.35">
      <c r="A183">
        <v>343.86</v>
      </c>
      <c r="B183">
        <v>3</v>
      </c>
      <c r="C183">
        <v>0.22420000000000001</v>
      </c>
      <c r="D183">
        <v>91.87</v>
      </c>
      <c r="F183" s="7">
        <f t="shared" si="4"/>
        <v>800.29976399999998</v>
      </c>
      <c r="G183" s="8">
        <f t="shared" si="5"/>
        <v>323.15023600000001</v>
      </c>
      <c r="I183" t="str">
        <v>09-Sep</v>
      </c>
      <c r="L183" t="b">
        <v>0</v>
      </c>
      <c r="N183" t="b">
        <v>0</v>
      </c>
    </row>
    <row r="184" spans="1:14" x14ac:dyDescent="0.35">
      <c r="A184">
        <v>347.12</v>
      </c>
      <c r="B184">
        <v>3</v>
      </c>
      <c r="C184">
        <v>0.42560000000000003</v>
      </c>
      <c r="D184">
        <v>27.03</v>
      </c>
      <c r="F184" s="7">
        <f t="shared" si="4"/>
        <v>598.15718400000014</v>
      </c>
      <c r="G184" s="8">
        <f t="shared" si="5"/>
        <v>470.23281600000007</v>
      </c>
      <c r="I184" t="str">
        <v>02-Feb</v>
      </c>
      <c r="L184" t="b">
        <v>0</v>
      </c>
      <c r="N184" t="b">
        <v>0</v>
      </c>
    </row>
    <row r="185" spans="1:14" x14ac:dyDescent="0.35">
      <c r="A185">
        <v>398.35</v>
      </c>
      <c r="B185">
        <v>3</v>
      </c>
      <c r="C185">
        <v>0.1754</v>
      </c>
      <c r="D185">
        <v>52.16</v>
      </c>
      <c r="F185" s="7">
        <f t="shared" si="4"/>
        <v>985.4382300000002</v>
      </c>
      <c r="G185" s="8">
        <f t="shared" si="5"/>
        <v>261.77177000000006</v>
      </c>
      <c r="I185" t="str">
        <v>04-Apr</v>
      </c>
      <c r="L185" t="b">
        <v>0</v>
      </c>
      <c r="N185" t="b">
        <v>0</v>
      </c>
    </row>
    <row r="186" spans="1:14" x14ac:dyDescent="0.35">
      <c r="A186">
        <v>123.54</v>
      </c>
      <c r="B186">
        <v>3</v>
      </c>
      <c r="C186">
        <v>6.4899999999999999E-2</v>
      </c>
      <c r="D186">
        <v>23.12</v>
      </c>
      <c r="F186" s="7">
        <f t="shared" si="4"/>
        <v>346.56676200000004</v>
      </c>
      <c r="G186" s="8">
        <f t="shared" si="5"/>
        <v>47.173237999999998</v>
      </c>
      <c r="I186" t="str">
        <v>03-Mar</v>
      </c>
      <c r="L186" t="b">
        <v>0</v>
      </c>
      <c r="N186" t="b">
        <v>0</v>
      </c>
    </row>
    <row r="187" spans="1:14" x14ac:dyDescent="0.35">
      <c r="A187">
        <v>194.69</v>
      </c>
      <c r="B187">
        <v>4</v>
      </c>
      <c r="C187">
        <v>0.19980000000000001</v>
      </c>
      <c r="D187">
        <v>94.92</v>
      </c>
      <c r="F187" s="7">
        <f t="shared" si="4"/>
        <v>623.16375200000004</v>
      </c>
      <c r="G187" s="8">
        <f t="shared" si="5"/>
        <v>250.51624800000002</v>
      </c>
      <c r="I187" t="str">
        <v>12-Dec</v>
      </c>
      <c r="L187" t="b">
        <v>0</v>
      </c>
      <c r="N187" t="b">
        <v>0</v>
      </c>
    </row>
    <row r="188" spans="1:14" x14ac:dyDescent="0.35">
      <c r="A188">
        <v>409.79</v>
      </c>
      <c r="B188">
        <v>5</v>
      </c>
      <c r="C188">
        <v>0.49979999999999997</v>
      </c>
      <c r="D188">
        <v>27.8</v>
      </c>
      <c r="F188" s="7">
        <f t="shared" si="4"/>
        <v>1024.8847900000001</v>
      </c>
      <c r="G188" s="8">
        <f t="shared" si="5"/>
        <v>1051.8652099999999</v>
      </c>
      <c r="I188" t="str">
        <v>04-Apr</v>
      </c>
      <c r="L188" t="b">
        <v>0</v>
      </c>
      <c r="N188" t="b">
        <v>0</v>
      </c>
    </row>
    <row r="189" spans="1:14" x14ac:dyDescent="0.35">
      <c r="A189">
        <v>406.86</v>
      </c>
      <c r="B189">
        <v>3</v>
      </c>
      <c r="C189">
        <v>0.32450000000000001</v>
      </c>
      <c r="D189">
        <v>24.45</v>
      </c>
      <c r="F189" s="7">
        <f t="shared" si="4"/>
        <v>824.50178999999991</v>
      </c>
      <c r="G189" s="8">
        <f t="shared" si="5"/>
        <v>420.52821</v>
      </c>
      <c r="I189" t="str">
        <v>05-May</v>
      </c>
      <c r="L189" t="b">
        <v>0</v>
      </c>
      <c r="N189" t="b">
        <v>0</v>
      </c>
    </row>
    <row r="190" spans="1:14" x14ac:dyDescent="0.35">
      <c r="A190">
        <v>195.56</v>
      </c>
      <c r="B190">
        <v>5</v>
      </c>
      <c r="C190">
        <v>0.13339999999999999</v>
      </c>
      <c r="D190">
        <v>85.78</v>
      </c>
      <c r="F190" s="7">
        <f t="shared" si="4"/>
        <v>847.36148000000003</v>
      </c>
      <c r="G190" s="8">
        <f t="shared" si="5"/>
        <v>216.21851999999998</v>
      </c>
      <c r="I190" t="str">
        <v>12-Dec</v>
      </c>
      <c r="L190" t="b">
        <v>0</v>
      </c>
      <c r="N190" t="b">
        <v>0</v>
      </c>
    </row>
    <row r="191" spans="1:14" x14ac:dyDescent="0.35">
      <c r="A191">
        <v>219.06</v>
      </c>
      <c r="B191">
        <v>4</v>
      </c>
      <c r="C191">
        <v>0.3337</v>
      </c>
      <c r="D191">
        <v>30.19</v>
      </c>
      <c r="F191" s="7">
        <f t="shared" si="4"/>
        <v>583.83871199999999</v>
      </c>
      <c r="G191" s="8">
        <f t="shared" si="5"/>
        <v>322.59128800000002</v>
      </c>
      <c r="I191" t="str">
        <v>04-Apr</v>
      </c>
      <c r="L191" t="b">
        <v>0</v>
      </c>
      <c r="N191" t="b">
        <v>0</v>
      </c>
    </row>
    <row r="192" spans="1:14" x14ac:dyDescent="0.35">
      <c r="A192">
        <v>154.13999999999999</v>
      </c>
      <c r="B192">
        <v>4</v>
      </c>
      <c r="C192">
        <v>0.2213</v>
      </c>
      <c r="D192">
        <v>72.03</v>
      </c>
      <c r="F192" s="7">
        <f t="shared" si="4"/>
        <v>480.11527199999995</v>
      </c>
      <c r="G192" s="8">
        <f t="shared" si="5"/>
        <v>208.474728</v>
      </c>
      <c r="I192" t="str">
        <v>06-Jun</v>
      </c>
      <c r="L192" t="b">
        <v>0</v>
      </c>
      <c r="N192" t="b">
        <v>0</v>
      </c>
    </row>
    <row r="193" spans="1:14" x14ac:dyDescent="0.35">
      <c r="A193">
        <v>424.49</v>
      </c>
      <c r="B193">
        <v>3</v>
      </c>
      <c r="C193">
        <v>0.222</v>
      </c>
      <c r="D193">
        <v>20.51</v>
      </c>
      <c r="F193" s="7">
        <f t="shared" si="4"/>
        <v>990.75966000000005</v>
      </c>
      <c r="G193" s="8">
        <f t="shared" si="5"/>
        <v>303.22034000000002</v>
      </c>
      <c r="I193" t="str">
        <v>04-Apr</v>
      </c>
      <c r="L193" t="b">
        <v>0</v>
      </c>
      <c r="N193" t="b">
        <v>0</v>
      </c>
    </row>
    <row r="194" spans="1:14" x14ac:dyDescent="0.35">
      <c r="A194">
        <v>422.51</v>
      </c>
      <c r="B194">
        <v>3</v>
      </c>
      <c r="C194">
        <v>4.4000000000000004E-2</v>
      </c>
      <c r="D194">
        <v>42.5</v>
      </c>
      <c r="F194" s="7">
        <f t="shared" si="4"/>
        <v>1211.7586799999999</v>
      </c>
      <c r="G194" s="8">
        <f t="shared" si="5"/>
        <v>98.271320000000003</v>
      </c>
      <c r="I194" t="str">
        <v>01-Jan</v>
      </c>
      <c r="L194" t="b">
        <v>1</v>
      </c>
      <c r="N194" t="b">
        <v>0</v>
      </c>
    </row>
    <row r="195" spans="1:14" x14ac:dyDescent="0.35">
      <c r="A195">
        <v>299.14999999999998</v>
      </c>
      <c r="B195">
        <v>3</v>
      </c>
      <c r="C195">
        <v>0.28589999999999999</v>
      </c>
      <c r="D195">
        <v>40.36</v>
      </c>
      <c r="F195" s="7">
        <f t="shared" ref="F195:F258" si="6">($A195*$B195)*(1-$C195)</f>
        <v>640.86904499999991</v>
      </c>
      <c r="G195" s="8">
        <f t="shared" ref="G195:G258" si="7">D195+(A195*B195*C195)</f>
        <v>296.94095499999997</v>
      </c>
      <c r="I195" t="str">
        <v>12-Dec</v>
      </c>
      <c r="L195" t="b">
        <v>0</v>
      </c>
      <c r="N195" t="b">
        <v>0</v>
      </c>
    </row>
    <row r="196" spans="1:14" x14ac:dyDescent="0.35">
      <c r="A196">
        <v>190.8</v>
      </c>
      <c r="B196">
        <v>5</v>
      </c>
      <c r="C196">
        <v>0.4889</v>
      </c>
      <c r="D196">
        <v>70.39</v>
      </c>
      <c r="F196" s="7">
        <f t="shared" si="6"/>
        <v>487.58940000000001</v>
      </c>
      <c r="G196" s="8">
        <f t="shared" si="7"/>
        <v>536.80060000000003</v>
      </c>
      <c r="I196" t="str">
        <v>10-Oct</v>
      </c>
      <c r="L196" t="b">
        <v>0</v>
      </c>
      <c r="N196" t="b">
        <v>0</v>
      </c>
    </row>
    <row r="197" spans="1:14" x14ac:dyDescent="0.35">
      <c r="A197">
        <v>103.24</v>
      </c>
      <c r="B197">
        <v>3</v>
      </c>
      <c r="C197">
        <v>0.10869999999999999</v>
      </c>
      <c r="D197">
        <v>75.34</v>
      </c>
      <c r="F197" s="7">
        <f t="shared" si="6"/>
        <v>276.05343599999998</v>
      </c>
      <c r="G197" s="8">
        <f t="shared" si="7"/>
        <v>109.006564</v>
      </c>
      <c r="I197" t="str">
        <v>12-Dec</v>
      </c>
      <c r="L197" t="b">
        <v>0</v>
      </c>
      <c r="N197" t="b">
        <v>0</v>
      </c>
    </row>
    <row r="198" spans="1:14" x14ac:dyDescent="0.35">
      <c r="A198">
        <v>489.99</v>
      </c>
      <c r="B198">
        <v>5</v>
      </c>
      <c r="C198">
        <v>0.22210000000000002</v>
      </c>
      <c r="D198">
        <v>46.56</v>
      </c>
      <c r="F198" s="7">
        <f t="shared" si="6"/>
        <v>1905.8161049999999</v>
      </c>
      <c r="G198" s="8">
        <f t="shared" si="7"/>
        <v>590.69389500000011</v>
      </c>
      <c r="I198" t="str">
        <v>10-Oct</v>
      </c>
      <c r="L198" t="b">
        <v>0</v>
      </c>
      <c r="N198" t="b">
        <v>0</v>
      </c>
    </row>
    <row r="199" spans="1:14" x14ac:dyDescent="0.35">
      <c r="A199">
        <v>176.66</v>
      </c>
      <c r="B199">
        <v>4</v>
      </c>
      <c r="C199">
        <v>0.39100000000000001</v>
      </c>
      <c r="D199">
        <v>91.04</v>
      </c>
      <c r="F199" s="7">
        <f t="shared" si="6"/>
        <v>430.34375999999997</v>
      </c>
      <c r="G199" s="8">
        <f t="shared" si="7"/>
        <v>367.33624000000003</v>
      </c>
      <c r="I199" t="str">
        <v>05-May</v>
      </c>
      <c r="L199" t="b">
        <v>0</v>
      </c>
      <c r="N199" t="b">
        <v>0</v>
      </c>
    </row>
    <row r="200" spans="1:14" x14ac:dyDescent="0.35">
      <c r="A200">
        <v>285.86</v>
      </c>
      <c r="B200">
        <v>4</v>
      </c>
      <c r="C200">
        <v>0.42159999999999997</v>
      </c>
      <c r="D200">
        <v>74.27</v>
      </c>
      <c r="F200" s="7">
        <f t="shared" si="6"/>
        <v>661.36569600000007</v>
      </c>
      <c r="G200" s="8">
        <f t="shared" si="7"/>
        <v>556.34430399999997</v>
      </c>
      <c r="I200" t="str">
        <v>06-Jun</v>
      </c>
      <c r="L200" t="b">
        <v>0</v>
      </c>
      <c r="N200" t="b">
        <v>0</v>
      </c>
    </row>
    <row r="201" spans="1:14" x14ac:dyDescent="0.35">
      <c r="A201">
        <v>85.51</v>
      </c>
      <c r="B201">
        <v>5</v>
      </c>
      <c r="C201">
        <v>0.40810000000000002</v>
      </c>
      <c r="D201">
        <v>79.430000000000007</v>
      </c>
      <c r="F201" s="7">
        <f t="shared" si="6"/>
        <v>253.066845</v>
      </c>
      <c r="G201" s="8">
        <f t="shared" si="7"/>
        <v>253.91315500000002</v>
      </c>
      <c r="I201" t="str">
        <v>12-Dec</v>
      </c>
      <c r="L201" t="b">
        <v>0</v>
      </c>
      <c r="N201" t="b">
        <v>0</v>
      </c>
    </row>
    <row r="202" spans="1:14" x14ac:dyDescent="0.35">
      <c r="A202">
        <v>478.49</v>
      </c>
      <c r="B202">
        <v>4</v>
      </c>
      <c r="C202">
        <v>0.49759999999999999</v>
      </c>
      <c r="D202">
        <v>32.68</v>
      </c>
      <c r="F202" s="7">
        <f t="shared" si="6"/>
        <v>961.57350399999996</v>
      </c>
      <c r="G202" s="8">
        <f t="shared" si="7"/>
        <v>985.06649599999992</v>
      </c>
      <c r="I202" t="str">
        <v>08-Aug</v>
      </c>
      <c r="L202" t="b">
        <v>0</v>
      </c>
      <c r="N202" t="b">
        <v>0</v>
      </c>
    </row>
    <row r="203" spans="1:14" x14ac:dyDescent="0.35">
      <c r="A203">
        <v>226.16</v>
      </c>
      <c r="B203">
        <v>3</v>
      </c>
      <c r="C203">
        <v>0.17929999999999999</v>
      </c>
      <c r="D203">
        <v>95.28</v>
      </c>
      <c r="F203" s="7">
        <f t="shared" si="6"/>
        <v>556.82853599999999</v>
      </c>
      <c r="G203" s="8">
        <f t="shared" si="7"/>
        <v>216.93146400000001</v>
      </c>
      <c r="I203" t="str">
        <v>03-Mar</v>
      </c>
      <c r="L203" t="b">
        <v>0</v>
      </c>
      <c r="N203" t="b">
        <v>0</v>
      </c>
    </row>
    <row r="204" spans="1:14" x14ac:dyDescent="0.35">
      <c r="A204">
        <v>205.11</v>
      </c>
      <c r="B204">
        <v>5</v>
      </c>
      <c r="C204">
        <v>0.13200000000000001</v>
      </c>
      <c r="D204">
        <v>60.05</v>
      </c>
      <c r="F204" s="7">
        <f t="shared" si="6"/>
        <v>890.17740000000015</v>
      </c>
      <c r="G204" s="8">
        <f t="shared" si="7"/>
        <v>195.42260000000005</v>
      </c>
      <c r="I204" t="str">
        <v>08-Aug</v>
      </c>
      <c r="L204" t="b">
        <v>0</v>
      </c>
      <c r="N204" t="b">
        <v>0</v>
      </c>
    </row>
    <row r="205" spans="1:14" x14ac:dyDescent="0.35">
      <c r="A205">
        <v>126.87</v>
      </c>
      <c r="B205">
        <v>3</v>
      </c>
      <c r="C205">
        <v>3.8199999999999998E-2</v>
      </c>
      <c r="D205">
        <v>63.61</v>
      </c>
      <c r="F205" s="7">
        <f t="shared" si="6"/>
        <v>366.07069799999999</v>
      </c>
      <c r="G205" s="8">
        <f t="shared" si="7"/>
        <v>78.149302000000006</v>
      </c>
      <c r="I205" t="str">
        <v>09-Sep</v>
      </c>
      <c r="L205" t="b">
        <v>0</v>
      </c>
      <c r="N205" t="b">
        <v>0</v>
      </c>
    </row>
    <row r="206" spans="1:14" x14ac:dyDescent="0.35">
      <c r="A206">
        <v>88.66</v>
      </c>
      <c r="B206">
        <v>5</v>
      </c>
      <c r="C206">
        <v>4.0199999999999993E-2</v>
      </c>
      <c r="D206">
        <v>11.42</v>
      </c>
      <c r="F206" s="7">
        <f t="shared" si="6"/>
        <v>425.47933999999992</v>
      </c>
      <c r="G206" s="8">
        <f t="shared" si="7"/>
        <v>29.240659999999998</v>
      </c>
      <c r="I206" t="str">
        <v>05-May</v>
      </c>
      <c r="L206" t="b">
        <v>0</v>
      </c>
      <c r="N206" t="b">
        <v>0</v>
      </c>
    </row>
    <row r="207" spans="1:14" x14ac:dyDescent="0.35">
      <c r="A207">
        <v>240.53</v>
      </c>
      <c r="B207">
        <v>4</v>
      </c>
      <c r="C207">
        <v>0.49099999999999999</v>
      </c>
      <c r="D207">
        <v>20.13</v>
      </c>
      <c r="F207" s="7">
        <f t="shared" si="6"/>
        <v>489.71908000000002</v>
      </c>
      <c r="G207" s="8">
        <f t="shared" si="7"/>
        <v>492.53091999999998</v>
      </c>
      <c r="I207" t="str">
        <v>10-Oct</v>
      </c>
      <c r="L207" t="b">
        <v>0</v>
      </c>
      <c r="N207" t="b">
        <v>0</v>
      </c>
    </row>
    <row r="208" spans="1:14" x14ac:dyDescent="0.35">
      <c r="A208">
        <v>94.95</v>
      </c>
      <c r="B208">
        <v>3</v>
      </c>
      <c r="C208">
        <v>4.82E-2</v>
      </c>
      <c r="D208">
        <v>61.14</v>
      </c>
      <c r="F208" s="7">
        <f t="shared" si="6"/>
        <v>271.12022999999999</v>
      </c>
      <c r="G208" s="8">
        <f t="shared" si="7"/>
        <v>74.869770000000003</v>
      </c>
      <c r="I208" t="str">
        <v>11-Nov</v>
      </c>
      <c r="L208" t="b">
        <v>0</v>
      </c>
      <c r="N208" t="b">
        <v>0</v>
      </c>
    </row>
    <row r="209" spans="1:14" x14ac:dyDescent="0.35">
      <c r="A209">
        <v>384.92</v>
      </c>
      <c r="B209">
        <v>3</v>
      </c>
      <c r="C209">
        <v>3.0800000000000001E-2</v>
      </c>
      <c r="D209">
        <v>51.77</v>
      </c>
      <c r="F209" s="7">
        <f t="shared" si="6"/>
        <v>1119.1933919999999</v>
      </c>
      <c r="G209" s="8">
        <f t="shared" si="7"/>
        <v>87.336608000000012</v>
      </c>
      <c r="I209" t="str">
        <v>11-Nov</v>
      </c>
      <c r="L209" t="b">
        <v>0</v>
      </c>
      <c r="N209" t="b">
        <v>0</v>
      </c>
    </row>
    <row r="210" spans="1:14" x14ac:dyDescent="0.35">
      <c r="A210">
        <v>133.74</v>
      </c>
      <c r="B210">
        <v>3</v>
      </c>
      <c r="C210">
        <v>7.3700000000000002E-2</v>
      </c>
      <c r="D210">
        <v>31.94</v>
      </c>
      <c r="F210" s="7">
        <f t="shared" si="6"/>
        <v>371.65008600000004</v>
      </c>
      <c r="G210" s="8">
        <f t="shared" si="7"/>
        <v>61.509914000000009</v>
      </c>
      <c r="I210" t="str">
        <v>05-May</v>
      </c>
      <c r="L210" t="b">
        <v>0</v>
      </c>
      <c r="N210" t="b">
        <v>0</v>
      </c>
    </row>
    <row r="211" spans="1:14" x14ac:dyDescent="0.35">
      <c r="A211">
        <v>359.75</v>
      </c>
      <c r="B211">
        <v>3</v>
      </c>
      <c r="C211">
        <v>0.28789999999999999</v>
      </c>
      <c r="D211">
        <v>89.63</v>
      </c>
      <c r="F211" s="7">
        <f t="shared" si="6"/>
        <v>768.53392499999995</v>
      </c>
      <c r="G211" s="8">
        <f t="shared" si="7"/>
        <v>400.34607499999998</v>
      </c>
      <c r="I211" t="str">
        <v>01-Jan</v>
      </c>
      <c r="L211" t="b">
        <v>1</v>
      </c>
      <c r="N211" t="b">
        <v>0</v>
      </c>
    </row>
    <row r="212" spans="1:14" x14ac:dyDescent="0.35">
      <c r="A212">
        <v>439.83</v>
      </c>
      <c r="B212">
        <v>4</v>
      </c>
      <c r="C212">
        <v>0.35680000000000001</v>
      </c>
      <c r="D212">
        <v>49.94</v>
      </c>
      <c r="F212" s="7">
        <f t="shared" si="6"/>
        <v>1131.5946239999998</v>
      </c>
      <c r="G212" s="8">
        <f t="shared" si="7"/>
        <v>677.66537599999992</v>
      </c>
      <c r="I212" t="str">
        <v>12-Dec</v>
      </c>
      <c r="L212" t="b">
        <v>0</v>
      </c>
      <c r="N212" t="b">
        <v>0</v>
      </c>
    </row>
    <row r="213" spans="1:14" x14ac:dyDescent="0.35">
      <c r="A213">
        <v>183.18</v>
      </c>
      <c r="B213">
        <v>3</v>
      </c>
      <c r="C213">
        <v>0.30430000000000001</v>
      </c>
      <c r="D213">
        <v>49.97</v>
      </c>
      <c r="F213" s="7">
        <f t="shared" si="6"/>
        <v>382.31497799999994</v>
      </c>
      <c r="G213" s="8">
        <f t="shared" si="7"/>
        <v>217.19502199999999</v>
      </c>
      <c r="I213" t="str">
        <v>02-Feb</v>
      </c>
      <c r="L213" t="b">
        <v>0</v>
      </c>
      <c r="N213" t="b">
        <v>0</v>
      </c>
    </row>
    <row r="214" spans="1:14" x14ac:dyDescent="0.35">
      <c r="A214">
        <v>489.86</v>
      </c>
      <c r="B214">
        <v>5</v>
      </c>
      <c r="C214">
        <v>0.38829999999999998</v>
      </c>
      <c r="D214">
        <v>69.7</v>
      </c>
      <c r="F214" s="7">
        <f t="shared" si="6"/>
        <v>1498.2368100000001</v>
      </c>
      <c r="G214" s="8">
        <f t="shared" si="7"/>
        <v>1020.76319</v>
      </c>
      <c r="I214" t="str">
        <v>08-Aug</v>
      </c>
      <c r="L214" t="b">
        <v>0</v>
      </c>
      <c r="N214" t="b">
        <v>0</v>
      </c>
    </row>
    <row r="215" spans="1:14" x14ac:dyDescent="0.35">
      <c r="A215">
        <v>286.20999999999998</v>
      </c>
      <c r="B215">
        <v>5</v>
      </c>
      <c r="C215">
        <v>0.4698</v>
      </c>
      <c r="D215">
        <v>97.2</v>
      </c>
      <c r="F215" s="7">
        <f t="shared" si="6"/>
        <v>758.74270999999999</v>
      </c>
      <c r="G215" s="8">
        <f t="shared" si="7"/>
        <v>769.50729000000001</v>
      </c>
      <c r="I215" t="str">
        <v>11-Nov</v>
      </c>
      <c r="L215" t="b">
        <v>0</v>
      </c>
      <c r="N215" t="b">
        <v>0</v>
      </c>
    </row>
    <row r="216" spans="1:14" x14ac:dyDescent="0.35">
      <c r="A216">
        <v>319.58999999999997</v>
      </c>
      <c r="B216">
        <v>3</v>
      </c>
      <c r="C216">
        <v>0.3175</v>
      </c>
      <c r="D216">
        <v>92.04</v>
      </c>
      <c r="F216" s="7">
        <f t="shared" si="6"/>
        <v>654.36052499999994</v>
      </c>
      <c r="G216" s="8">
        <f t="shared" si="7"/>
        <v>396.44947500000001</v>
      </c>
      <c r="I216" t="str">
        <v>05-May</v>
      </c>
      <c r="L216" t="b">
        <v>0</v>
      </c>
      <c r="N216" t="b">
        <v>0</v>
      </c>
    </row>
    <row r="217" spans="1:14" x14ac:dyDescent="0.35">
      <c r="A217">
        <v>471.11</v>
      </c>
      <c r="B217">
        <v>5</v>
      </c>
      <c r="C217">
        <v>0.25159999999999999</v>
      </c>
      <c r="D217">
        <v>85.4</v>
      </c>
      <c r="F217" s="7">
        <f t="shared" si="6"/>
        <v>1762.8936200000001</v>
      </c>
      <c r="G217" s="8">
        <f t="shared" si="7"/>
        <v>678.05637999999999</v>
      </c>
      <c r="I217" t="str">
        <v>02-Feb</v>
      </c>
      <c r="L217" t="b">
        <v>0</v>
      </c>
      <c r="N217" t="b">
        <v>0</v>
      </c>
    </row>
    <row r="218" spans="1:14" x14ac:dyDescent="0.35">
      <c r="A218">
        <v>467.71</v>
      </c>
      <c r="B218">
        <v>5</v>
      </c>
      <c r="C218">
        <v>0.28570000000000001</v>
      </c>
      <c r="D218">
        <v>56.7</v>
      </c>
      <c r="F218" s="7">
        <f t="shared" si="6"/>
        <v>1670.4262649999996</v>
      </c>
      <c r="G218" s="8">
        <f t="shared" si="7"/>
        <v>724.82373499999994</v>
      </c>
      <c r="I218" t="str">
        <v>05-May</v>
      </c>
      <c r="L218" t="b">
        <v>0</v>
      </c>
      <c r="N218" t="b">
        <v>0</v>
      </c>
    </row>
    <row r="219" spans="1:14" x14ac:dyDescent="0.35">
      <c r="A219">
        <v>327.27</v>
      </c>
      <c r="B219">
        <v>4</v>
      </c>
      <c r="C219">
        <v>7.7300000000000008E-2</v>
      </c>
      <c r="D219">
        <v>22.31</v>
      </c>
      <c r="F219" s="7">
        <f t="shared" si="6"/>
        <v>1207.8881159999999</v>
      </c>
      <c r="G219" s="8">
        <f t="shared" si="7"/>
        <v>123.501884</v>
      </c>
      <c r="I219" t="str">
        <v>11-Nov</v>
      </c>
      <c r="L219" t="b">
        <v>0</v>
      </c>
      <c r="N219" t="b">
        <v>0</v>
      </c>
    </row>
    <row r="220" spans="1:14" x14ac:dyDescent="0.35">
      <c r="A220">
        <v>145</v>
      </c>
      <c r="B220">
        <v>5</v>
      </c>
      <c r="C220">
        <v>0.31109999999999999</v>
      </c>
      <c r="D220">
        <v>42.88</v>
      </c>
      <c r="F220" s="7">
        <f t="shared" si="6"/>
        <v>499.45250000000004</v>
      </c>
      <c r="G220" s="8">
        <f t="shared" si="7"/>
        <v>268.42750000000001</v>
      </c>
      <c r="I220" t="str">
        <v>12-Dec</v>
      </c>
      <c r="L220" t="b">
        <v>0</v>
      </c>
      <c r="N220" t="b">
        <v>0</v>
      </c>
    </row>
    <row r="221" spans="1:14" x14ac:dyDescent="0.35">
      <c r="A221">
        <v>198.12</v>
      </c>
      <c r="B221">
        <v>4</v>
      </c>
      <c r="C221">
        <v>0.45840000000000003</v>
      </c>
      <c r="D221">
        <v>58.63</v>
      </c>
      <c r="F221" s="7">
        <f t="shared" si="6"/>
        <v>429.20716799999997</v>
      </c>
      <c r="G221" s="8">
        <f t="shared" si="7"/>
        <v>421.90283200000005</v>
      </c>
      <c r="I221" t="str">
        <v>04-Apr</v>
      </c>
      <c r="L221" t="b">
        <v>0</v>
      </c>
      <c r="N221" t="b">
        <v>0</v>
      </c>
    </row>
    <row r="222" spans="1:14" x14ac:dyDescent="0.35">
      <c r="A222">
        <v>254.95</v>
      </c>
      <c r="B222">
        <v>3</v>
      </c>
      <c r="C222">
        <v>0.39439999999999997</v>
      </c>
      <c r="D222">
        <v>35.65</v>
      </c>
      <c r="F222" s="7">
        <f t="shared" si="6"/>
        <v>463.19315999999998</v>
      </c>
      <c r="G222" s="8">
        <f t="shared" si="7"/>
        <v>337.30683999999991</v>
      </c>
      <c r="I222" t="str">
        <v>01-Jan</v>
      </c>
      <c r="L222" t="b">
        <v>1</v>
      </c>
      <c r="N222" t="b">
        <v>0</v>
      </c>
    </row>
    <row r="223" spans="1:14" x14ac:dyDescent="0.35">
      <c r="A223">
        <v>420.31</v>
      </c>
      <c r="B223">
        <v>4</v>
      </c>
      <c r="C223">
        <v>0.33560000000000001</v>
      </c>
      <c r="D223">
        <v>58.08</v>
      </c>
      <c r="F223" s="7">
        <f t="shared" si="6"/>
        <v>1117.015856</v>
      </c>
      <c r="G223" s="8">
        <f t="shared" si="7"/>
        <v>622.30414400000006</v>
      </c>
      <c r="I223" t="str">
        <v>10-Oct</v>
      </c>
      <c r="L223" t="b">
        <v>0</v>
      </c>
      <c r="N223" t="b">
        <v>0</v>
      </c>
    </row>
    <row r="224" spans="1:14" x14ac:dyDescent="0.35">
      <c r="A224">
        <v>472.79</v>
      </c>
      <c r="B224">
        <v>3</v>
      </c>
      <c r="C224">
        <v>5.5599999999999997E-2</v>
      </c>
      <c r="D224">
        <v>57.9</v>
      </c>
      <c r="F224" s="7">
        <f t="shared" si="6"/>
        <v>1339.508628</v>
      </c>
      <c r="G224" s="8">
        <f t="shared" si="7"/>
        <v>136.76137199999999</v>
      </c>
      <c r="I224" t="str">
        <v>05-May</v>
      </c>
      <c r="L224" t="b">
        <v>0</v>
      </c>
      <c r="N224" t="b">
        <v>0</v>
      </c>
    </row>
    <row r="225" spans="1:14" x14ac:dyDescent="0.35">
      <c r="A225">
        <v>429.32</v>
      </c>
      <c r="B225">
        <v>5</v>
      </c>
      <c r="C225">
        <v>0.10150000000000001</v>
      </c>
      <c r="D225">
        <v>28.06</v>
      </c>
      <c r="F225" s="7">
        <f t="shared" si="6"/>
        <v>1928.7200999999998</v>
      </c>
      <c r="G225" s="8">
        <f t="shared" si="7"/>
        <v>245.93989999999999</v>
      </c>
      <c r="I225" t="str">
        <v>10-Oct</v>
      </c>
      <c r="L225" t="b">
        <v>0</v>
      </c>
      <c r="N225" t="b">
        <v>0</v>
      </c>
    </row>
    <row r="226" spans="1:14" x14ac:dyDescent="0.35">
      <c r="A226">
        <v>497.87</v>
      </c>
      <c r="B226">
        <v>4</v>
      </c>
      <c r="C226">
        <v>7.7899999999999997E-2</v>
      </c>
      <c r="D226">
        <v>54.83</v>
      </c>
      <c r="F226" s="7">
        <f t="shared" si="6"/>
        <v>1836.3437080000001</v>
      </c>
      <c r="G226" s="8">
        <f t="shared" si="7"/>
        <v>209.96629200000001</v>
      </c>
      <c r="I226" t="str">
        <v>12-Dec</v>
      </c>
      <c r="L226" t="b">
        <v>0</v>
      </c>
      <c r="N226" t="b">
        <v>0</v>
      </c>
    </row>
    <row r="227" spans="1:14" x14ac:dyDescent="0.35">
      <c r="A227">
        <v>479.05</v>
      </c>
      <c r="B227">
        <v>4</v>
      </c>
      <c r="C227">
        <v>0.28320000000000001</v>
      </c>
      <c r="D227">
        <v>27.86</v>
      </c>
      <c r="F227" s="7">
        <f t="shared" si="6"/>
        <v>1373.53216</v>
      </c>
      <c r="G227" s="8">
        <f t="shared" si="7"/>
        <v>570.52784000000008</v>
      </c>
      <c r="I227" t="str">
        <v>08-Aug</v>
      </c>
      <c r="L227" t="b">
        <v>0</v>
      </c>
      <c r="N227" t="b">
        <v>0</v>
      </c>
    </row>
    <row r="228" spans="1:14" x14ac:dyDescent="0.35">
      <c r="A228">
        <v>300.5</v>
      </c>
      <c r="B228">
        <v>4</v>
      </c>
      <c r="C228">
        <v>0.30680000000000002</v>
      </c>
      <c r="D228">
        <v>89.5</v>
      </c>
      <c r="F228" s="7">
        <f t="shared" si="6"/>
        <v>833.22640000000001</v>
      </c>
      <c r="G228" s="8">
        <f t="shared" si="7"/>
        <v>458.27360000000004</v>
      </c>
      <c r="I228" t="str">
        <v>01-Jan</v>
      </c>
      <c r="L228" t="b">
        <v>1</v>
      </c>
      <c r="N228" t="b">
        <v>0</v>
      </c>
    </row>
    <row r="229" spans="1:14" x14ac:dyDescent="0.35">
      <c r="A229">
        <v>235.01</v>
      </c>
      <c r="B229">
        <v>5</v>
      </c>
      <c r="C229">
        <v>0.29149999999999998</v>
      </c>
      <c r="D229">
        <v>55.58</v>
      </c>
      <c r="F229" s="7">
        <f t="shared" si="6"/>
        <v>832.52292499999999</v>
      </c>
      <c r="G229" s="8">
        <f t="shared" si="7"/>
        <v>398.10707499999995</v>
      </c>
      <c r="I229" t="str">
        <v>09-Sep</v>
      </c>
      <c r="L229" t="b">
        <v>0</v>
      </c>
      <c r="N229" t="b">
        <v>0</v>
      </c>
    </row>
    <row r="230" spans="1:14" x14ac:dyDescent="0.35">
      <c r="A230">
        <v>104.84</v>
      </c>
      <c r="B230">
        <v>4</v>
      </c>
      <c r="C230">
        <v>0.32650000000000001</v>
      </c>
      <c r="D230">
        <v>71.66</v>
      </c>
      <c r="F230" s="7">
        <f t="shared" si="6"/>
        <v>282.43896000000001</v>
      </c>
      <c r="G230" s="8">
        <f t="shared" si="7"/>
        <v>208.58104</v>
      </c>
      <c r="I230" t="str">
        <v>07-Jul</v>
      </c>
      <c r="L230" t="b">
        <v>0</v>
      </c>
      <c r="N230" t="b">
        <v>0</v>
      </c>
    </row>
    <row r="231" spans="1:14" x14ac:dyDescent="0.35">
      <c r="A231">
        <v>402.89</v>
      </c>
      <c r="B231">
        <v>5</v>
      </c>
      <c r="C231">
        <v>0.31879999999999997</v>
      </c>
      <c r="D231">
        <v>40.950000000000003</v>
      </c>
      <c r="F231" s="7">
        <f t="shared" si="6"/>
        <v>1372.24334</v>
      </c>
      <c r="G231" s="8">
        <f t="shared" si="7"/>
        <v>683.15665999999999</v>
      </c>
      <c r="I231" t="str">
        <v>07-Jul</v>
      </c>
      <c r="L231" t="b">
        <v>0</v>
      </c>
      <c r="N231" t="b">
        <v>0</v>
      </c>
    </row>
    <row r="232" spans="1:14" x14ac:dyDescent="0.35">
      <c r="A232">
        <v>358.88</v>
      </c>
      <c r="B232">
        <v>5</v>
      </c>
      <c r="C232">
        <v>0.20319999999999999</v>
      </c>
      <c r="D232">
        <v>41.76</v>
      </c>
      <c r="F232" s="7">
        <f t="shared" si="6"/>
        <v>1429.77792</v>
      </c>
      <c r="G232" s="8">
        <f t="shared" si="7"/>
        <v>406.38207999999997</v>
      </c>
      <c r="I232" t="str">
        <v>07-Jul</v>
      </c>
      <c r="L232" t="b">
        <v>0</v>
      </c>
      <c r="N232" t="b">
        <v>0</v>
      </c>
    </row>
    <row r="233" spans="1:14" x14ac:dyDescent="0.35">
      <c r="A233">
        <v>474.63</v>
      </c>
      <c r="B233">
        <v>3</v>
      </c>
      <c r="C233">
        <v>1.11E-2</v>
      </c>
      <c r="D233">
        <v>11.21</v>
      </c>
      <c r="F233" s="7">
        <f t="shared" si="6"/>
        <v>1408.0848209999999</v>
      </c>
      <c r="G233" s="8">
        <f t="shared" si="7"/>
        <v>27.015179</v>
      </c>
      <c r="I233" t="str">
        <v>11-Nov</v>
      </c>
      <c r="L233" t="b">
        <v>0</v>
      </c>
      <c r="N233" t="b">
        <v>0</v>
      </c>
    </row>
    <row r="234" spans="1:14" x14ac:dyDescent="0.35">
      <c r="A234">
        <v>298.8</v>
      </c>
      <c r="B234">
        <v>5</v>
      </c>
      <c r="C234">
        <v>0.32340000000000002</v>
      </c>
      <c r="D234">
        <v>98.51</v>
      </c>
      <c r="F234" s="7">
        <f t="shared" si="6"/>
        <v>1010.8403999999999</v>
      </c>
      <c r="G234" s="8">
        <f t="shared" si="7"/>
        <v>581.66960000000006</v>
      </c>
      <c r="I234" t="str">
        <v>03-Mar</v>
      </c>
      <c r="L234" t="b">
        <v>0</v>
      </c>
      <c r="N234" t="b">
        <v>0</v>
      </c>
    </row>
    <row r="235" spans="1:14" x14ac:dyDescent="0.35">
      <c r="A235">
        <v>400.89</v>
      </c>
      <c r="B235">
        <v>3</v>
      </c>
      <c r="C235">
        <v>0.39189999999999997</v>
      </c>
      <c r="D235">
        <v>65.73</v>
      </c>
      <c r="F235" s="7">
        <f t="shared" si="6"/>
        <v>731.3436270000002</v>
      </c>
      <c r="G235" s="8">
        <f t="shared" si="7"/>
        <v>537.05637300000001</v>
      </c>
      <c r="I235" t="str">
        <v>08-Aug</v>
      </c>
      <c r="L235" t="b">
        <v>0</v>
      </c>
      <c r="N235" t="b">
        <v>0</v>
      </c>
    </row>
    <row r="236" spans="1:14" x14ac:dyDescent="0.35">
      <c r="A236">
        <v>192.2</v>
      </c>
      <c r="B236">
        <v>4</v>
      </c>
      <c r="C236">
        <v>0.28059999999999996</v>
      </c>
      <c r="D236">
        <v>30.03</v>
      </c>
      <c r="F236" s="7">
        <f t="shared" si="6"/>
        <v>553.07471999999996</v>
      </c>
      <c r="G236" s="8">
        <f t="shared" si="7"/>
        <v>245.75527999999997</v>
      </c>
      <c r="I236" t="str">
        <v>02-Feb</v>
      </c>
      <c r="L236" t="b">
        <v>0</v>
      </c>
      <c r="N236" t="b">
        <v>0</v>
      </c>
    </row>
    <row r="237" spans="1:14" x14ac:dyDescent="0.35">
      <c r="A237">
        <v>141.09</v>
      </c>
      <c r="B237">
        <v>5</v>
      </c>
      <c r="C237">
        <v>0.1663</v>
      </c>
      <c r="D237">
        <v>85.13</v>
      </c>
      <c r="F237" s="7">
        <f t="shared" si="6"/>
        <v>588.13366500000006</v>
      </c>
      <c r="G237" s="8">
        <f t="shared" si="7"/>
        <v>202.446335</v>
      </c>
      <c r="I237" t="str">
        <v>06-Jun</v>
      </c>
      <c r="L237" t="b">
        <v>0</v>
      </c>
      <c r="N237" t="b">
        <v>0</v>
      </c>
    </row>
    <row r="238" spans="1:14" x14ac:dyDescent="0.35">
      <c r="A238">
        <v>459.16</v>
      </c>
      <c r="B238">
        <v>3</v>
      </c>
      <c r="C238">
        <v>0.24429999999999999</v>
      </c>
      <c r="D238">
        <v>23.27</v>
      </c>
      <c r="F238" s="7">
        <f t="shared" si="6"/>
        <v>1040.961636</v>
      </c>
      <c r="G238" s="8">
        <f t="shared" si="7"/>
        <v>359.78836399999994</v>
      </c>
      <c r="I238" t="str">
        <v>12-Dec</v>
      </c>
      <c r="L238" t="b">
        <v>0</v>
      </c>
      <c r="N238" t="b">
        <v>0</v>
      </c>
    </row>
    <row r="239" spans="1:14" x14ac:dyDescent="0.35">
      <c r="A239">
        <v>389.96</v>
      </c>
      <c r="B239">
        <v>4</v>
      </c>
      <c r="C239">
        <v>0.32929999999999998</v>
      </c>
      <c r="D239">
        <v>14.11</v>
      </c>
      <c r="F239" s="7">
        <f t="shared" si="6"/>
        <v>1046.1846880000001</v>
      </c>
      <c r="G239" s="8">
        <f t="shared" si="7"/>
        <v>527.76531199999999</v>
      </c>
      <c r="I239" t="str">
        <v>06-Jun</v>
      </c>
      <c r="L239" t="b">
        <v>0</v>
      </c>
      <c r="N239" t="b">
        <v>0</v>
      </c>
    </row>
    <row r="240" spans="1:14" x14ac:dyDescent="0.35">
      <c r="A240">
        <v>260.47000000000003</v>
      </c>
      <c r="B240">
        <v>4</v>
      </c>
      <c r="C240">
        <v>6.1799999999999994E-2</v>
      </c>
      <c r="D240">
        <v>63.58</v>
      </c>
      <c r="F240" s="7">
        <f t="shared" si="6"/>
        <v>977.49181600000009</v>
      </c>
      <c r="G240" s="8">
        <f t="shared" si="7"/>
        <v>127.96818399999999</v>
      </c>
      <c r="I240" t="str">
        <v>03-Mar</v>
      </c>
      <c r="L240" t="b">
        <v>0</v>
      </c>
      <c r="N240" t="b">
        <v>0</v>
      </c>
    </row>
    <row r="241" spans="1:14" x14ac:dyDescent="0.35">
      <c r="A241">
        <v>474.91</v>
      </c>
      <c r="B241">
        <v>4</v>
      </c>
      <c r="C241">
        <v>0.49659999999999999</v>
      </c>
      <c r="D241">
        <v>50.98</v>
      </c>
      <c r="F241" s="7">
        <f t="shared" si="6"/>
        <v>956.27877600000022</v>
      </c>
      <c r="G241" s="8">
        <f t="shared" si="7"/>
        <v>994.34122400000001</v>
      </c>
      <c r="I241" t="str">
        <v>01-Jan</v>
      </c>
      <c r="L241" t="b">
        <v>1</v>
      </c>
      <c r="N241" t="b">
        <v>0</v>
      </c>
    </row>
    <row r="242" spans="1:14" x14ac:dyDescent="0.35">
      <c r="A242">
        <v>300.27</v>
      </c>
      <c r="B242">
        <v>3</v>
      </c>
      <c r="C242">
        <v>1.89E-2</v>
      </c>
      <c r="D242">
        <v>27.39</v>
      </c>
      <c r="F242" s="7">
        <f t="shared" si="6"/>
        <v>883.78469099999995</v>
      </c>
      <c r="G242" s="8">
        <f t="shared" si="7"/>
        <v>44.415309000000001</v>
      </c>
      <c r="I242" t="str">
        <v>08-Aug</v>
      </c>
      <c r="L242" t="b">
        <v>0</v>
      </c>
      <c r="N242" t="b">
        <v>0</v>
      </c>
    </row>
    <row r="243" spans="1:14" x14ac:dyDescent="0.35">
      <c r="A243">
        <v>459.22</v>
      </c>
      <c r="B243">
        <v>4</v>
      </c>
      <c r="C243">
        <v>0.2661</v>
      </c>
      <c r="D243">
        <v>50.9</v>
      </c>
      <c r="F243" s="7">
        <f t="shared" si="6"/>
        <v>1348.0862320000001</v>
      </c>
      <c r="G243" s="8">
        <f t="shared" si="7"/>
        <v>539.69376800000009</v>
      </c>
      <c r="I243" t="str">
        <v>08-Aug</v>
      </c>
      <c r="L243" t="b">
        <v>0</v>
      </c>
      <c r="N243" t="b">
        <v>0</v>
      </c>
    </row>
    <row r="244" spans="1:14" x14ac:dyDescent="0.35">
      <c r="A244">
        <v>145.38</v>
      </c>
      <c r="B244">
        <v>3</v>
      </c>
      <c r="C244">
        <v>0.21239999999999998</v>
      </c>
      <c r="D244">
        <v>37.82</v>
      </c>
      <c r="F244" s="7">
        <f t="shared" si="6"/>
        <v>343.50386400000002</v>
      </c>
      <c r="G244" s="8">
        <f t="shared" si="7"/>
        <v>130.45613599999999</v>
      </c>
      <c r="I244" t="str">
        <v>01-Jan</v>
      </c>
      <c r="L244" t="b">
        <v>1</v>
      </c>
      <c r="N244" t="b">
        <v>0</v>
      </c>
    </row>
    <row r="245" spans="1:14" x14ac:dyDescent="0.35">
      <c r="A245">
        <v>266.76</v>
      </c>
      <c r="B245">
        <v>4</v>
      </c>
      <c r="C245">
        <v>0.4118</v>
      </c>
      <c r="D245">
        <v>95.65</v>
      </c>
      <c r="F245" s="7">
        <f t="shared" si="6"/>
        <v>627.63292799999999</v>
      </c>
      <c r="G245" s="8">
        <f t="shared" si="7"/>
        <v>535.05707199999995</v>
      </c>
      <c r="I245" t="str">
        <v>09-Sep</v>
      </c>
      <c r="L245" t="b">
        <v>0</v>
      </c>
      <c r="N245" t="b">
        <v>0</v>
      </c>
    </row>
    <row r="246" spans="1:14" x14ac:dyDescent="0.35">
      <c r="A246">
        <v>266.39999999999998</v>
      </c>
      <c r="B246">
        <v>3</v>
      </c>
      <c r="C246">
        <v>0.28079999999999999</v>
      </c>
      <c r="D246">
        <v>73.19</v>
      </c>
      <c r="F246" s="7">
        <f t="shared" si="6"/>
        <v>574.78463999999997</v>
      </c>
      <c r="G246" s="8">
        <f t="shared" si="7"/>
        <v>297.60535999999996</v>
      </c>
      <c r="I246" t="str">
        <v>10-Oct</v>
      </c>
      <c r="L246" t="b">
        <v>0</v>
      </c>
      <c r="N246" t="b">
        <v>0</v>
      </c>
    </row>
    <row r="247" spans="1:14" x14ac:dyDescent="0.35">
      <c r="A247">
        <v>162.65</v>
      </c>
      <c r="B247">
        <v>3</v>
      </c>
      <c r="C247">
        <v>4.7400000000000005E-2</v>
      </c>
      <c r="D247">
        <v>79.010000000000005</v>
      </c>
      <c r="F247" s="7">
        <f t="shared" si="6"/>
        <v>464.82117000000005</v>
      </c>
      <c r="G247" s="8">
        <f t="shared" si="7"/>
        <v>102.13883000000001</v>
      </c>
      <c r="I247" t="str">
        <v>07-Jul</v>
      </c>
      <c r="L247" t="b">
        <v>0</v>
      </c>
      <c r="N247" t="b">
        <v>0</v>
      </c>
    </row>
    <row r="248" spans="1:14" x14ac:dyDescent="0.35">
      <c r="A248">
        <v>265.27999999999997</v>
      </c>
      <c r="B248">
        <v>3</v>
      </c>
      <c r="C248">
        <v>0.115</v>
      </c>
      <c r="D248">
        <v>21.74</v>
      </c>
      <c r="F248" s="7">
        <f t="shared" si="6"/>
        <v>704.31839999999988</v>
      </c>
      <c r="G248" s="8">
        <f t="shared" si="7"/>
        <v>113.26159999999999</v>
      </c>
      <c r="I248" t="str">
        <v>11-Nov</v>
      </c>
      <c r="L248" t="b">
        <v>0</v>
      </c>
      <c r="N248" t="b">
        <v>0</v>
      </c>
    </row>
    <row r="249" spans="1:14" x14ac:dyDescent="0.35">
      <c r="A249">
        <v>78.099999999999994</v>
      </c>
      <c r="B249">
        <v>3</v>
      </c>
      <c r="C249">
        <v>2E-3</v>
      </c>
      <c r="D249">
        <v>40.35</v>
      </c>
      <c r="F249" s="7">
        <f t="shared" si="6"/>
        <v>233.83139999999997</v>
      </c>
      <c r="G249" s="8">
        <f t="shared" si="7"/>
        <v>40.818600000000004</v>
      </c>
      <c r="I249" t="str">
        <v>02-Feb</v>
      </c>
      <c r="L249" t="b">
        <v>0</v>
      </c>
      <c r="N249" t="b">
        <v>0</v>
      </c>
    </row>
    <row r="250" spans="1:14" x14ac:dyDescent="0.35">
      <c r="A250">
        <v>91.18</v>
      </c>
      <c r="B250">
        <v>4</v>
      </c>
      <c r="C250">
        <v>0.37159999999999999</v>
      </c>
      <c r="D250">
        <v>32.68</v>
      </c>
      <c r="F250" s="7">
        <f t="shared" si="6"/>
        <v>229.19004800000005</v>
      </c>
      <c r="G250" s="8">
        <f t="shared" si="7"/>
        <v>168.20995200000002</v>
      </c>
      <c r="I250" t="str">
        <v>03-Mar</v>
      </c>
      <c r="L250" t="b">
        <v>0</v>
      </c>
      <c r="N250" t="b">
        <v>0</v>
      </c>
    </row>
    <row r="251" spans="1:14" x14ac:dyDescent="0.35">
      <c r="A251">
        <v>154.01</v>
      </c>
      <c r="B251">
        <v>5</v>
      </c>
      <c r="C251">
        <v>2.53E-2</v>
      </c>
      <c r="D251">
        <v>98.19</v>
      </c>
      <c r="F251" s="7">
        <f t="shared" si="6"/>
        <v>750.56773499999997</v>
      </c>
      <c r="G251" s="8">
        <f t="shared" si="7"/>
        <v>117.672265</v>
      </c>
      <c r="I251" t="str">
        <v>04-Apr</v>
      </c>
      <c r="L251" t="b">
        <v>0</v>
      </c>
      <c r="N251" t="b">
        <v>0</v>
      </c>
    </row>
    <row r="252" spans="1:14" x14ac:dyDescent="0.35">
      <c r="A252">
        <v>413.52</v>
      </c>
      <c r="B252">
        <v>5</v>
      </c>
      <c r="C252">
        <v>0.26200000000000001</v>
      </c>
      <c r="D252">
        <v>58.03</v>
      </c>
      <c r="F252" s="7">
        <f t="shared" si="6"/>
        <v>1525.8887999999999</v>
      </c>
      <c r="G252" s="8">
        <f t="shared" si="7"/>
        <v>599.74119999999994</v>
      </c>
      <c r="I252" t="str">
        <v>11-Nov</v>
      </c>
      <c r="L252" t="b">
        <v>0</v>
      </c>
      <c r="N252" t="b">
        <v>0</v>
      </c>
    </row>
    <row r="253" spans="1:14" x14ac:dyDescent="0.35">
      <c r="A253">
        <v>322.85000000000002</v>
      </c>
      <c r="B253">
        <v>3</v>
      </c>
      <c r="C253">
        <v>0.1255</v>
      </c>
      <c r="D253">
        <v>13.76</v>
      </c>
      <c r="F253" s="7">
        <f t="shared" si="6"/>
        <v>846.99697500000013</v>
      </c>
      <c r="G253" s="8">
        <f t="shared" si="7"/>
        <v>135.31302500000001</v>
      </c>
      <c r="I253" t="str">
        <v>03-Mar</v>
      </c>
      <c r="L253" t="b">
        <v>0</v>
      </c>
      <c r="N253" t="b">
        <v>0</v>
      </c>
    </row>
    <row r="254" spans="1:14" x14ac:dyDescent="0.35">
      <c r="A254">
        <v>112.24</v>
      </c>
      <c r="B254">
        <v>3</v>
      </c>
      <c r="C254">
        <v>0.45729999999999998</v>
      </c>
      <c r="D254">
        <v>19.89</v>
      </c>
      <c r="F254" s="7">
        <f t="shared" si="6"/>
        <v>182.73794399999997</v>
      </c>
      <c r="G254" s="8">
        <f t="shared" si="7"/>
        <v>173.87205599999999</v>
      </c>
      <c r="I254" t="str">
        <v>09-Sep</v>
      </c>
      <c r="L254" t="b">
        <v>0</v>
      </c>
      <c r="N254" t="b">
        <v>0</v>
      </c>
    </row>
    <row r="255" spans="1:14" x14ac:dyDescent="0.35">
      <c r="A255">
        <v>98.34</v>
      </c>
      <c r="B255">
        <v>5</v>
      </c>
      <c r="C255">
        <v>0.374</v>
      </c>
      <c r="D255">
        <v>49.41</v>
      </c>
      <c r="F255" s="7">
        <f t="shared" si="6"/>
        <v>307.80420000000004</v>
      </c>
      <c r="G255" s="8">
        <f t="shared" si="7"/>
        <v>233.3058</v>
      </c>
      <c r="I255" t="str">
        <v>04-Apr</v>
      </c>
      <c r="L255" t="b">
        <v>0</v>
      </c>
      <c r="N255" t="b">
        <v>0</v>
      </c>
    </row>
    <row r="256" spans="1:14" x14ac:dyDescent="0.35">
      <c r="A256">
        <v>491.54</v>
      </c>
      <c r="B256">
        <v>5</v>
      </c>
      <c r="C256">
        <v>0.193</v>
      </c>
      <c r="D256">
        <v>42.64</v>
      </c>
      <c r="F256" s="7">
        <f t="shared" si="6"/>
        <v>1983.3639000000001</v>
      </c>
      <c r="G256" s="8">
        <f t="shared" si="7"/>
        <v>516.97610000000009</v>
      </c>
      <c r="I256" t="str">
        <v>03-Mar</v>
      </c>
      <c r="L256" t="b">
        <v>0</v>
      </c>
      <c r="N256" t="b">
        <v>0</v>
      </c>
    </row>
    <row r="257" spans="1:14" x14ac:dyDescent="0.35">
      <c r="A257">
        <v>346.36</v>
      </c>
      <c r="B257">
        <v>4</v>
      </c>
      <c r="C257">
        <v>0.36399999999999999</v>
      </c>
      <c r="D257">
        <v>23.82</v>
      </c>
      <c r="F257" s="7">
        <f t="shared" si="6"/>
        <v>881.13984000000005</v>
      </c>
      <c r="G257" s="8">
        <f t="shared" si="7"/>
        <v>528.12016000000006</v>
      </c>
      <c r="I257" t="str">
        <v>05-May</v>
      </c>
      <c r="L257" t="b">
        <v>0</v>
      </c>
      <c r="N257" t="b">
        <v>0</v>
      </c>
    </row>
    <row r="258" spans="1:14" x14ac:dyDescent="0.35">
      <c r="A258">
        <v>351.42</v>
      </c>
      <c r="B258">
        <v>5</v>
      </c>
      <c r="C258">
        <v>0.48580000000000001</v>
      </c>
      <c r="D258">
        <v>17.52</v>
      </c>
      <c r="F258" s="7">
        <f t="shared" si="6"/>
        <v>903.50082000000009</v>
      </c>
      <c r="G258" s="8">
        <f t="shared" si="7"/>
        <v>871.11918000000003</v>
      </c>
      <c r="I258" t="str">
        <v>06-Jun</v>
      </c>
      <c r="L258" t="b">
        <v>0</v>
      </c>
      <c r="N258" t="b">
        <v>0</v>
      </c>
    </row>
    <row r="259" spans="1:14" x14ac:dyDescent="0.35">
      <c r="A259">
        <v>227.86</v>
      </c>
      <c r="B259">
        <v>4</v>
      </c>
      <c r="C259">
        <v>5.7300000000000004E-2</v>
      </c>
      <c r="D259">
        <v>99.51</v>
      </c>
      <c r="F259" s="7">
        <f t="shared" ref="F259:F322" si="8">($A259*$B259)*(1-$C259)</f>
        <v>859.21448800000007</v>
      </c>
      <c r="G259" s="8">
        <f t="shared" ref="G259:G322" si="9">D259+(A259*B259*C259)</f>
        <v>151.73551200000003</v>
      </c>
      <c r="I259" t="str">
        <v>03-Mar</v>
      </c>
      <c r="L259" t="b">
        <v>0</v>
      </c>
      <c r="N259" t="b">
        <v>0</v>
      </c>
    </row>
    <row r="260" spans="1:14" x14ac:dyDescent="0.35">
      <c r="A260">
        <v>366.65</v>
      </c>
      <c r="B260">
        <v>4</v>
      </c>
      <c r="C260">
        <v>0.16829999999999998</v>
      </c>
      <c r="D260">
        <v>52.69</v>
      </c>
      <c r="F260" s="7">
        <f t="shared" si="8"/>
        <v>1219.7712199999999</v>
      </c>
      <c r="G260" s="8">
        <f t="shared" si="9"/>
        <v>299.51877999999994</v>
      </c>
      <c r="I260" t="str">
        <v>06-Jun</v>
      </c>
      <c r="L260" t="b">
        <v>0</v>
      </c>
      <c r="N260" t="b">
        <v>0</v>
      </c>
    </row>
    <row r="261" spans="1:14" x14ac:dyDescent="0.35">
      <c r="A261">
        <v>378.58</v>
      </c>
      <c r="B261">
        <v>4</v>
      </c>
      <c r="C261">
        <v>0.14119999999999999</v>
      </c>
      <c r="D261">
        <v>42.73</v>
      </c>
      <c r="F261" s="7">
        <f t="shared" si="8"/>
        <v>1300.498016</v>
      </c>
      <c r="G261" s="8">
        <f t="shared" si="9"/>
        <v>256.551984</v>
      </c>
      <c r="I261" t="str">
        <v>11-Nov</v>
      </c>
      <c r="L261" t="b">
        <v>0</v>
      </c>
      <c r="N261" t="b">
        <v>0</v>
      </c>
    </row>
    <row r="262" spans="1:14" x14ac:dyDescent="0.35">
      <c r="A262">
        <v>485.69</v>
      </c>
      <c r="B262">
        <v>5</v>
      </c>
      <c r="C262">
        <v>7.8200000000000006E-2</v>
      </c>
      <c r="D262">
        <v>17.29</v>
      </c>
      <c r="F262" s="7">
        <f t="shared" si="8"/>
        <v>2238.5452099999998</v>
      </c>
      <c r="G262" s="8">
        <f t="shared" si="9"/>
        <v>207.19478999999998</v>
      </c>
      <c r="I262" t="str">
        <v>10-Oct</v>
      </c>
      <c r="L262" t="b">
        <v>0</v>
      </c>
      <c r="N262" t="b">
        <v>0</v>
      </c>
    </row>
    <row r="263" spans="1:14" x14ac:dyDescent="0.35">
      <c r="A263">
        <v>102.52</v>
      </c>
      <c r="B263">
        <v>5</v>
      </c>
      <c r="C263">
        <v>0.1036</v>
      </c>
      <c r="D263">
        <v>47.99</v>
      </c>
      <c r="F263" s="7">
        <f t="shared" si="8"/>
        <v>459.49464</v>
      </c>
      <c r="G263" s="8">
        <f t="shared" si="9"/>
        <v>101.09536</v>
      </c>
      <c r="I263" t="str">
        <v>10-Oct</v>
      </c>
      <c r="L263" t="b">
        <v>0</v>
      </c>
      <c r="N263" t="b">
        <v>0</v>
      </c>
    </row>
    <row r="264" spans="1:14" x14ac:dyDescent="0.35">
      <c r="A264">
        <v>392.79</v>
      </c>
      <c r="B264">
        <v>3</v>
      </c>
      <c r="C264">
        <v>0.1133</v>
      </c>
      <c r="D264">
        <v>42</v>
      </c>
      <c r="F264" s="7">
        <f t="shared" si="8"/>
        <v>1044.8606790000001</v>
      </c>
      <c r="G264" s="8">
        <f t="shared" si="9"/>
        <v>175.509321</v>
      </c>
      <c r="I264" t="str">
        <v>04-Apr</v>
      </c>
      <c r="L264" t="b">
        <v>0</v>
      </c>
      <c r="N264" t="b">
        <v>0</v>
      </c>
    </row>
    <row r="265" spans="1:14" x14ac:dyDescent="0.35">
      <c r="A265">
        <v>221.38</v>
      </c>
      <c r="B265">
        <v>3</v>
      </c>
      <c r="C265">
        <v>6.7299999999999999E-2</v>
      </c>
      <c r="D265">
        <v>62.66</v>
      </c>
      <c r="F265" s="7">
        <f t="shared" si="8"/>
        <v>619.44337799999994</v>
      </c>
      <c r="G265" s="8">
        <f t="shared" si="9"/>
        <v>107.35662199999999</v>
      </c>
      <c r="I265" t="str">
        <v>09-Sep</v>
      </c>
      <c r="L265" t="b">
        <v>0</v>
      </c>
      <c r="N265" t="b">
        <v>0</v>
      </c>
    </row>
    <row r="266" spans="1:14" x14ac:dyDescent="0.35">
      <c r="A266">
        <v>87.4</v>
      </c>
      <c r="B266">
        <v>4</v>
      </c>
      <c r="C266">
        <v>0.1118</v>
      </c>
      <c r="D266">
        <v>37.229999999999997</v>
      </c>
      <c r="F266" s="7">
        <f t="shared" si="8"/>
        <v>310.51472000000001</v>
      </c>
      <c r="G266" s="8">
        <f t="shared" si="9"/>
        <v>76.315280000000001</v>
      </c>
      <c r="I266" t="str">
        <v>11-Nov</v>
      </c>
      <c r="L266" t="b">
        <v>0</v>
      </c>
      <c r="N266" t="b">
        <v>0</v>
      </c>
    </row>
    <row r="267" spans="1:14" x14ac:dyDescent="0.35">
      <c r="A267">
        <v>111.38</v>
      </c>
      <c r="B267">
        <v>5</v>
      </c>
      <c r="C267">
        <v>0.3931</v>
      </c>
      <c r="D267">
        <v>89.86</v>
      </c>
      <c r="F267" s="7">
        <f t="shared" si="8"/>
        <v>337.98260999999997</v>
      </c>
      <c r="G267" s="8">
        <f t="shared" si="9"/>
        <v>308.77738999999997</v>
      </c>
      <c r="I267" t="str">
        <v>07-Jul</v>
      </c>
      <c r="L267" t="b">
        <v>0</v>
      </c>
      <c r="N267" t="b">
        <v>0</v>
      </c>
    </row>
    <row r="268" spans="1:14" x14ac:dyDescent="0.35">
      <c r="A268">
        <v>378.72</v>
      </c>
      <c r="B268">
        <v>5</v>
      </c>
      <c r="C268">
        <v>0.16920000000000002</v>
      </c>
      <c r="D268">
        <v>95.26</v>
      </c>
      <c r="F268" s="7">
        <f t="shared" si="8"/>
        <v>1573.2028800000001</v>
      </c>
      <c r="G268" s="8">
        <f t="shared" si="9"/>
        <v>415.65712000000002</v>
      </c>
      <c r="I268" t="str">
        <v>12-Dec</v>
      </c>
      <c r="L268" t="b">
        <v>0</v>
      </c>
      <c r="N268" t="b">
        <v>0</v>
      </c>
    </row>
    <row r="269" spans="1:14" x14ac:dyDescent="0.35">
      <c r="A269">
        <v>405.23</v>
      </c>
      <c r="B269">
        <v>3</v>
      </c>
      <c r="C269">
        <v>0.47820000000000001</v>
      </c>
      <c r="D269">
        <v>42.77</v>
      </c>
      <c r="F269" s="7">
        <f t="shared" si="8"/>
        <v>634.3470420000001</v>
      </c>
      <c r="G269" s="8">
        <f t="shared" si="9"/>
        <v>624.11295800000005</v>
      </c>
      <c r="I269" t="str">
        <v>02-Feb</v>
      </c>
      <c r="L269" t="b">
        <v>0</v>
      </c>
      <c r="N269" t="b">
        <v>0</v>
      </c>
    </row>
    <row r="270" spans="1:14" x14ac:dyDescent="0.35">
      <c r="A270">
        <v>54.39</v>
      </c>
      <c r="B270">
        <v>4</v>
      </c>
      <c r="C270">
        <v>0.28989999999999999</v>
      </c>
      <c r="D270">
        <v>80.739999999999995</v>
      </c>
      <c r="F270" s="7">
        <f t="shared" si="8"/>
        <v>154.48935599999999</v>
      </c>
      <c r="G270" s="8">
        <f t="shared" si="9"/>
        <v>143.810644</v>
      </c>
      <c r="I270" t="str">
        <v>01-Jan</v>
      </c>
      <c r="L270" t="b">
        <v>1</v>
      </c>
      <c r="N270" t="b">
        <v>0</v>
      </c>
    </row>
    <row r="271" spans="1:14" x14ac:dyDescent="0.35">
      <c r="A271">
        <v>447.94</v>
      </c>
      <c r="B271">
        <v>3</v>
      </c>
      <c r="C271">
        <v>0.27200000000000002</v>
      </c>
      <c r="D271">
        <v>47.64</v>
      </c>
      <c r="F271" s="7">
        <f t="shared" si="8"/>
        <v>978.30095999999992</v>
      </c>
      <c r="G271" s="8">
        <f t="shared" si="9"/>
        <v>413.15904</v>
      </c>
      <c r="I271" t="str">
        <v>02-Feb</v>
      </c>
      <c r="L271" t="b">
        <v>0</v>
      </c>
      <c r="N271" t="b">
        <v>0</v>
      </c>
    </row>
    <row r="272" spans="1:14" x14ac:dyDescent="0.35">
      <c r="A272">
        <v>199</v>
      </c>
      <c r="B272">
        <v>4</v>
      </c>
      <c r="C272">
        <v>0.11019999999999999</v>
      </c>
      <c r="D272">
        <v>54.62</v>
      </c>
      <c r="F272" s="7">
        <f t="shared" si="8"/>
        <v>708.2808</v>
      </c>
      <c r="G272" s="8">
        <f t="shared" si="9"/>
        <v>142.33920000000001</v>
      </c>
      <c r="I272" t="str">
        <v>11-Nov</v>
      </c>
      <c r="L272" t="b">
        <v>0</v>
      </c>
      <c r="N272" t="b">
        <v>0</v>
      </c>
    </row>
    <row r="273" spans="1:14" x14ac:dyDescent="0.35">
      <c r="A273">
        <v>401.92</v>
      </c>
      <c r="B273">
        <v>4</v>
      </c>
      <c r="C273">
        <v>0.25950000000000001</v>
      </c>
      <c r="D273">
        <v>28</v>
      </c>
      <c r="F273" s="7">
        <f t="shared" si="8"/>
        <v>1190.48704</v>
      </c>
      <c r="G273" s="8">
        <f t="shared" si="9"/>
        <v>445.19296000000003</v>
      </c>
      <c r="I273" t="str">
        <v>12-Dec</v>
      </c>
      <c r="L273" t="b">
        <v>0</v>
      </c>
      <c r="N273" t="b">
        <v>0</v>
      </c>
    </row>
    <row r="274" spans="1:14" x14ac:dyDescent="0.35">
      <c r="A274">
        <v>356.86</v>
      </c>
      <c r="B274">
        <v>4</v>
      </c>
      <c r="C274">
        <v>0.38990000000000002</v>
      </c>
      <c r="D274">
        <v>81.2</v>
      </c>
      <c r="F274" s="7">
        <f t="shared" si="8"/>
        <v>870.88114399999995</v>
      </c>
      <c r="G274" s="8">
        <f t="shared" si="9"/>
        <v>637.75885600000015</v>
      </c>
      <c r="I274" t="str">
        <v>06-Jun</v>
      </c>
      <c r="L274" t="b">
        <v>0</v>
      </c>
      <c r="N274" t="b">
        <v>0</v>
      </c>
    </row>
    <row r="275" spans="1:14" x14ac:dyDescent="0.35">
      <c r="A275">
        <v>102.13</v>
      </c>
      <c r="B275">
        <v>5</v>
      </c>
      <c r="C275">
        <v>0.23879999999999998</v>
      </c>
      <c r="D275">
        <v>84.35</v>
      </c>
      <c r="F275" s="7">
        <f t="shared" si="8"/>
        <v>388.70677999999998</v>
      </c>
      <c r="G275" s="8">
        <f t="shared" si="9"/>
        <v>206.29321999999996</v>
      </c>
      <c r="I275" t="str">
        <v>10-Oct</v>
      </c>
      <c r="L275" t="b">
        <v>0</v>
      </c>
      <c r="N275" t="b">
        <v>0</v>
      </c>
    </row>
    <row r="276" spans="1:14" x14ac:dyDescent="0.35">
      <c r="A276">
        <v>157.35</v>
      </c>
      <c r="B276">
        <v>5</v>
      </c>
      <c r="C276">
        <v>0.45140000000000002</v>
      </c>
      <c r="D276">
        <v>99.78</v>
      </c>
      <c r="F276" s="7">
        <f t="shared" si="8"/>
        <v>431.61104999999998</v>
      </c>
      <c r="G276" s="8">
        <f t="shared" si="9"/>
        <v>454.91895</v>
      </c>
      <c r="I276" t="str">
        <v>01-Jan</v>
      </c>
      <c r="L276" t="b">
        <v>1</v>
      </c>
      <c r="N276" t="b">
        <v>0</v>
      </c>
    </row>
    <row r="277" spans="1:14" x14ac:dyDescent="0.35">
      <c r="A277">
        <v>492.45</v>
      </c>
      <c r="B277">
        <v>5</v>
      </c>
      <c r="C277">
        <v>0.13689999999999999</v>
      </c>
      <c r="D277">
        <v>94.81</v>
      </c>
      <c r="F277" s="7">
        <f t="shared" si="8"/>
        <v>2125.1679749999998</v>
      </c>
      <c r="G277" s="8">
        <f t="shared" si="9"/>
        <v>431.89202499999999</v>
      </c>
      <c r="I277" t="str">
        <v>06-Jun</v>
      </c>
      <c r="L277" t="b">
        <v>0</v>
      </c>
      <c r="N277" t="b">
        <v>0</v>
      </c>
    </row>
    <row r="278" spans="1:14" x14ac:dyDescent="0.35">
      <c r="A278">
        <v>191.81</v>
      </c>
      <c r="B278">
        <v>3</v>
      </c>
      <c r="C278">
        <v>0.30590000000000001</v>
      </c>
      <c r="D278">
        <v>46.1</v>
      </c>
      <c r="F278" s="7">
        <f t="shared" si="8"/>
        <v>399.40596299999999</v>
      </c>
      <c r="G278" s="8">
        <f t="shared" si="9"/>
        <v>222.12403700000002</v>
      </c>
      <c r="I278" t="str">
        <v>05-May</v>
      </c>
      <c r="L278" t="b">
        <v>0</v>
      </c>
      <c r="N278" t="b">
        <v>0</v>
      </c>
    </row>
    <row r="279" spans="1:14" x14ac:dyDescent="0.35">
      <c r="A279">
        <v>242.03</v>
      </c>
      <c r="B279">
        <v>5</v>
      </c>
      <c r="C279">
        <v>0.14810000000000001</v>
      </c>
      <c r="D279">
        <v>51.64</v>
      </c>
      <c r="F279" s="7">
        <f t="shared" si="8"/>
        <v>1030.9267850000001</v>
      </c>
      <c r="G279" s="8">
        <f t="shared" si="9"/>
        <v>230.86321500000003</v>
      </c>
      <c r="I279" t="str">
        <v>07-Jul</v>
      </c>
      <c r="L279" t="b">
        <v>0</v>
      </c>
      <c r="N279" t="b">
        <v>0</v>
      </c>
    </row>
    <row r="280" spans="1:14" x14ac:dyDescent="0.35">
      <c r="A280">
        <v>279.64999999999998</v>
      </c>
      <c r="B280">
        <v>3</v>
      </c>
      <c r="C280">
        <v>0.43490000000000001</v>
      </c>
      <c r="D280">
        <v>92.95</v>
      </c>
      <c r="F280" s="7">
        <f t="shared" si="8"/>
        <v>474.09064499999988</v>
      </c>
      <c r="G280" s="8">
        <f t="shared" si="9"/>
        <v>457.80935499999998</v>
      </c>
      <c r="I280" t="str">
        <v>02-Feb</v>
      </c>
      <c r="L280" t="b">
        <v>0</v>
      </c>
      <c r="N280" t="b">
        <v>0</v>
      </c>
    </row>
    <row r="281" spans="1:14" x14ac:dyDescent="0.35">
      <c r="A281">
        <v>63.86</v>
      </c>
      <c r="B281">
        <v>4</v>
      </c>
      <c r="C281">
        <v>0.25980000000000003</v>
      </c>
      <c r="D281">
        <v>78.010000000000005</v>
      </c>
      <c r="F281" s="7">
        <f t="shared" si="8"/>
        <v>189.07668799999999</v>
      </c>
      <c r="G281" s="8">
        <f t="shared" si="9"/>
        <v>144.373312</v>
      </c>
      <c r="I281" t="str">
        <v>07-Jul</v>
      </c>
      <c r="L281" t="b">
        <v>0</v>
      </c>
      <c r="N281" t="b">
        <v>0</v>
      </c>
    </row>
    <row r="282" spans="1:14" x14ac:dyDescent="0.35">
      <c r="A282">
        <v>271.95</v>
      </c>
      <c r="B282">
        <v>5</v>
      </c>
      <c r="C282">
        <v>3.44E-2</v>
      </c>
      <c r="D282">
        <v>33.67</v>
      </c>
      <c r="F282" s="7">
        <f t="shared" si="8"/>
        <v>1312.9746</v>
      </c>
      <c r="G282" s="8">
        <f t="shared" si="9"/>
        <v>80.445400000000006</v>
      </c>
      <c r="I282" t="str">
        <v>11-Nov</v>
      </c>
      <c r="L282" t="b">
        <v>0</v>
      </c>
      <c r="N282" t="b">
        <v>0</v>
      </c>
    </row>
    <row r="283" spans="1:14" x14ac:dyDescent="0.35">
      <c r="A283">
        <v>395.49</v>
      </c>
      <c r="B283">
        <v>4</v>
      </c>
      <c r="C283">
        <v>0.46929999999999999</v>
      </c>
      <c r="D283">
        <v>46.42</v>
      </c>
      <c r="F283" s="7">
        <f t="shared" si="8"/>
        <v>839.54617199999996</v>
      </c>
      <c r="G283" s="8">
        <f t="shared" si="9"/>
        <v>788.83382799999993</v>
      </c>
      <c r="I283" t="str">
        <v>07-Jul</v>
      </c>
      <c r="L283" t="b">
        <v>0</v>
      </c>
      <c r="N283" t="b">
        <v>0</v>
      </c>
    </row>
    <row r="284" spans="1:14" x14ac:dyDescent="0.35">
      <c r="A284">
        <v>127.67</v>
      </c>
      <c r="B284">
        <v>3</v>
      </c>
      <c r="C284">
        <v>0.1789</v>
      </c>
      <c r="D284">
        <v>68.86</v>
      </c>
      <c r="F284" s="7">
        <f t="shared" si="8"/>
        <v>314.48951099999999</v>
      </c>
      <c r="G284" s="8">
        <f t="shared" si="9"/>
        <v>137.38048900000001</v>
      </c>
      <c r="I284" t="str">
        <v>07-Jul</v>
      </c>
      <c r="L284" t="b">
        <v>0</v>
      </c>
      <c r="N284" t="b">
        <v>0</v>
      </c>
    </row>
    <row r="285" spans="1:14" x14ac:dyDescent="0.35">
      <c r="A285">
        <v>89.21</v>
      </c>
      <c r="B285">
        <v>5</v>
      </c>
      <c r="C285">
        <v>7.0199999999999999E-2</v>
      </c>
      <c r="D285">
        <v>64.56</v>
      </c>
      <c r="F285" s="7">
        <f t="shared" si="8"/>
        <v>414.73728999999992</v>
      </c>
      <c r="G285" s="8">
        <f t="shared" si="9"/>
        <v>95.872709999999998</v>
      </c>
      <c r="I285" t="str">
        <v>12-Dec</v>
      </c>
      <c r="L285" t="b">
        <v>0</v>
      </c>
      <c r="N285" t="b">
        <v>0</v>
      </c>
    </row>
    <row r="286" spans="1:14" x14ac:dyDescent="0.35">
      <c r="A286">
        <v>402.81</v>
      </c>
      <c r="B286">
        <v>4</v>
      </c>
      <c r="C286">
        <v>0.14599999999999999</v>
      </c>
      <c r="D286">
        <v>56.73</v>
      </c>
      <c r="F286" s="7">
        <f t="shared" si="8"/>
        <v>1375.9989599999999</v>
      </c>
      <c r="G286" s="8">
        <f t="shared" si="9"/>
        <v>291.97104000000002</v>
      </c>
      <c r="I286" t="str">
        <v>04-Apr</v>
      </c>
      <c r="L286" t="b">
        <v>0</v>
      </c>
      <c r="N286" t="b">
        <v>0</v>
      </c>
    </row>
    <row r="287" spans="1:14" x14ac:dyDescent="0.35">
      <c r="A287">
        <v>276.57</v>
      </c>
      <c r="B287">
        <v>5</v>
      </c>
      <c r="C287">
        <v>7.4200000000000002E-2</v>
      </c>
      <c r="D287">
        <v>50.01</v>
      </c>
      <c r="F287" s="7">
        <f t="shared" si="8"/>
        <v>1280.2425299999998</v>
      </c>
      <c r="G287" s="8">
        <f t="shared" si="9"/>
        <v>152.61747</v>
      </c>
      <c r="I287" t="str">
        <v>05-May</v>
      </c>
      <c r="L287" t="b">
        <v>0</v>
      </c>
      <c r="N287" t="b">
        <v>0</v>
      </c>
    </row>
    <row r="288" spans="1:14" x14ac:dyDescent="0.35">
      <c r="A288">
        <v>250.28</v>
      </c>
      <c r="B288">
        <v>4</v>
      </c>
      <c r="C288">
        <v>0.30980000000000002</v>
      </c>
      <c r="D288">
        <v>86.36</v>
      </c>
      <c r="F288" s="7">
        <f t="shared" si="8"/>
        <v>690.9730239999999</v>
      </c>
      <c r="G288" s="8">
        <f t="shared" si="9"/>
        <v>396.50697600000001</v>
      </c>
      <c r="I288" t="str">
        <v>10-Oct</v>
      </c>
      <c r="L288" t="b">
        <v>0</v>
      </c>
      <c r="N288" t="b">
        <v>0</v>
      </c>
    </row>
    <row r="289" spans="1:14" x14ac:dyDescent="0.35">
      <c r="A289">
        <v>489.13</v>
      </c>
      <c r="B289">
        <v>4</v>
      </c>
      <c r="C289">
        <v>0.34200000000000003</v>
      </c>
      <c r="D289">
        <v>68.260000000000005</v>
      </c>
      <c r="F289" s="7">
        <f t="shared" si="8"/>
        <v>1287.3901599999999</v>
      </c>
      <c r="G289" s="8">
        <f t="shared" si="9"/>
        <v>737.38984000000005</v>
      </c>
      <c r="I289" t="str">
        <v>01-Jan</v>
      </c>
      <c r="L289" t="b">
        <v>1</v>
      </c>
      <c r="N289" t="b">
        <v>0</v>
      </c>
    </row>
    <row r="290" spans="1:14" x14ac:dyDescent="0.35">
      <c r="A290">
        <v>379.23</v>
      </c>
      <c r="B290">
        <v>3</v>
      </c>
      <c r="C290">
        <v>0.121</v>
      </c>
      <c r="D290">
        <v>47.59</v>
      </c>
      <c r="F290" s="7">
        <f t="shared" si="8"/>
        <v>1000.0295100000001</v>
      </c>
      <c r="G290" s="8">
        <f t="shared" si="9"/>
        <v>185.25049000000001</v>
      </c>
      <c r="I290" t="str">
        <v>07-Jul</v>
      </c>
      <c r="L290" t="b">
        <v>0</v>
      </c>
      <c r="N290" t="b">
        <v>0</v>
      </c>
    </row>
    <row r="291" spans="1:14" x14ac:dyDescent="0.35">
      <c r="A291">
        <v>397.46</v>
      </c>
      <c r="B291">
        <v>3</v>
      </c>
      <c r="C291">
        <v>0.21739999999999998</v>
      </c>
      <c r="D291">
        <v>85.28</v>
      </c>
      <c r="F291" s="7">
        <f t="shared" si="8"/>
        <v>933.15658799999983</v>
      </c>
      <c r="G291" s="8">
        <f t="shared" si="9"/>
        <v>344.50341199999991</v>
      </c>
      <c r="I291" t="str">
        <v>12-Dec</v>
      </c>
      <c r="L291" t="b">
        <v>0</v>
      </c>
      <c r="N291" t="b">
        <v>0</v>
      </c>
    </row>
    <row r="292" spans="1:14" x14ac:dyDescent="0.35">
      <c r="A292">
        <v>199.65</v>
      </c>
      <c r="B292">
        <v>4</v>
      </c>
      <c r="C292">
        <v>0.21079999999999999</v>
      </c>
      <c r="D292">
        <v>92.56</v>
      </c>
      <c r="F292" s="7">
        <f t="shared" si="8"/>
        <v>630.25512000000003</v>
      </c>
      <c r="G292" s="8">
        <f t="shared" si="9"/>
        <v>260.90487999999999</v>
      </c>
      <c r="I292" t="str">
        <v>09-Sep</v>
      </c>
      <c r="L292" t="b">
        <v>0</v>
      </c>
      <c r="N292" t="b">
        <v>0</v>
      </c>
    </row>
    <row r="293" spans="1:14" x14ac:dyDescent="0.35">
      <c r="A293">
        <v>361.1</v>
      </c>
      <c r="B293">
        <v>5</v>
      </c>
      <c r="C293">
        <v>1.9599999999999999E-2</v>
      </c>
      <c r="D293">
        <v>45.2</v>
      </c>
      <c r="F293" s="7">
        <f t="shared" si="8"/>
        <v>1770.1122</v>
      </c>
      <c r="G293" s="8">
        <f t="shared" si="9"/>
        <v>80.587800000000001</v>
      </c>
      <c r="I293" t="str">
        <v>01-Jan</v>
      </c>
      <c r="L293" t="b">
        <v>1</v>
      </c>
      <c r="N293" t="b">
        <v>0</v>
      </c>
    </row>
    <row r="294" spans="1:14" x14ac:dyDescent="0.35">
      <c r="A294">
        <v>118.1</v>
      </c>
      <c r="B294">
        <v>4</v>
      </c>
      <c r="C294">
        <v>0.3196</v>
      </c>
      <c r="D294">
        <v>96.1</v>
      </c>
      <c r="F294" s="7">
        <f t="shared" si="8"/>
        <v>321.42095999999998</v>
      </c>
      <c r="G294" s="8">
        <f t="shared" si="9"/>
        <v>247.07903999999999</v>
      </c>
      <c r="I294" t="str">
        <v>03-Mar</v>
      </c>
      <c r="L294" t="b">
        <v>0</v>
      </c>
      <c r="N294" t="b">
        <v>0</v>
      </c>
    </row>
    <row r="295" spans="1:14" x14ac:dyDescent="0.35">
      <c r="A295">
        <v>169.37</v>
      </c>
      <c r="B295">
        <v>5</v>
      </c>
      <c r="C295">
        <v>4.4600000000000001E-2</v>
      </c>
      <c r="D295">
        <v>25.81</v>
      </c>
      <c r="F295" s="7">
        <f t="shared" si="8"/>
        <v>809.08049000000005</v>
      </c>
      <c r="G295" s="8">
        <f t="shared" si="9"/>
        <v>63.579509999999999</v>
      </c>
      <c r="I295" t="str">
        <v>12-Dec</v>
      </c>
      <c r="L295" t="b">
        <v>0</v>
      </c>
      <c r="N295" t="b">
        <v>0</v>
      </c>
    </row>
    <row r="296" spans="1:14" x14ac:dyDescent="0.35">
      <c r="A296">
        <v>478.99</v>
      </c>
      <c r="B296">
        <v>5</v>
      </c>
      <c r="C296">
        <v>0.40479999999999999</v>
      </c>
      <c r="D296">
        <v>74.75</v>
      </c>
      <c r="F296" s="7">
        <f t="shared" si="8"/>
        <v>1425.4742399999998</v>
      </c>
      <c r="G296" s="8">
        <f t="shared" si="9"/>
        <v>1044.2257599999998</v>
      </c>
      <c r="I296" t="str">
        <v>05-May</v>
      </c>
      <c r="L296" t="b">
        <v>0</v>
      </c>
      <c r="N296" t="b">
        <v>0</v>
      </c>
    </row>
    <row r="297" spans="1:14" x14ac:dyDescent="0.35">
      <c r="A297">
        <v>93.92</v>
      </c>
      <c r="B297">
        <v>3</v>
      </c>
      <c r="C297">
        <v>0.30199999999999999</v>
      </c>
      <c r="D297">
        <v>52.69</v>
      </c>
      <c r="F297" s="7">
        <f t="shared" si="8"/>
        <v>196.66847999999999</v>
      </c>
      <c r="G297" s="8">
        <f t="shared" si="9"/>
        <v>137.78152</v>
      </c>
      <c r="I297" t="str">
        <v>12-Dec</v>
      </c>
      <c r="L297" t="b">
        <v>0</v>
      </c>
      <c r="N297" t="b">
        <v>0</v>
      </c>
    </row>
    <row r="298" spans="1:14" x14ac:dyDescent="0.35">
      <c r="A298">
        <v>365.16</v>
      </c>
      <c r="B298">
        <v>4</v>
      </c>
      <c r="C298">
        <v>0.379</v>
      </c>
      <c r="D298">
        <v>37.14</v>
      </c>
      <c r="F298" s="7">
        <f t="shared" si="8"/>
        <v>907.05744000000004</v>
      </c>
      <c r="G298" s="8">
        <f t="shared" si="9"/>
        <v>590.72256000000004</v>
      </c>
      <c r="I298" t="str">
        <v>08-Aug</v>
      </c>
      <c r="L298" t="b">
        <v>0</v>
      </c>
      <c r="N298" t="b">
        <v>0</v>
      </c>
    </row>
    <row r="299" spans="1:14" x14ac:dyDescent="0.35">
      <c r="A299">
        <v>83.88</v>
      </c>
      <c r="B299">
        <v>3</v>
      </c>
      <c r="C299">
        <v>0.40360000000000001</v>
      </c>
      <c r="D299">
        <v>69.489999999999995</v>
      </c>
      <c r="F299" s="7">
        <f t="shared" si="8"/>
        <v>150.07809600000002</v>
      </c>
      <c r="G299" s="8">
        <f t="shared" si="9"/>
        <v>171.05190399999998</v>
      </c>
      <c r="I299" t="str">
        <v>01-Jan</v>
      </c>
      <c r="L299" t="b">
        <v>1</v>
      </c>
      <c r="N299" t="b">
        <v>0</v>
      </c>
    </row>
    <row r="300" spans="1:14" x14ac:dyDescent="0.35">
      <c r="A300">
        <v>402.18</v>
      </c>
      <c r="B300">
        <v>5</v>
      </c>
      <c r="C300">
        <v>5.5899999999999998E-2</v>
      </c>
      <c r="D300">
        <v>25.41</v>
      </c>
      <c r="F300" s="7">
        <f t="shared" si="8"/>
        <v>1898.4906900000001</v>
      </c>
      <c r="G300" s="8">
        <f t="shared" si="9"/>
        <v>137.81931</v>
      </c>
      <c r="I300" t="str">
        <v>07-Jul</v>
      </c>
      <c r="L300" t="b">
        <v>0</v>
      </c>
      <c r="N300" t="b">
        <v>0</v>
      </c>
    </row>
    <row r="301" spans="1:14" x14ac:dyDescent="0.35">
      <c r="A301">
        <v>232.32</v>
      </c>
      <c r="B301">
        <v>5</v>
      </c>
      <c r="C301">
        <v>0.37090000000000001</v>
      </c>
      <c r="D301">
        <v>76.790000000000006</v>
      </c>
      <c r="F301" s="7">
        <f t="shared" si="8"/>
        <v>730.76255999999989</v>
      </c>
      <c r="G301" s="8">
        <f t="shared" si="9"/>
        <v>507.62743999999998</v>
      </c>
      <c r="I301" t="str">
        <v>10-Oct</v>
      </c>
      <c r="L301" t="b">
        <v>0</v>
      </c>
      <c r="N301" t="b">
        <v>0</v>
      </c>
    </row>
    <row r="302" spans="1:14" x14ac:dyDescent="0.35">
      <c r="A302">
        <v>334.07</v>
      </c>
      <c r="B302">
        <v>4</v>
      </c>
      <c r="C302">
        <v>5.2600000000000001E-2</v>
      </c>
      <c r="D302">
        <v>49.24</v>
      </c>
      <c r="F302" s="7">
        <f t="shared" si="8"/>
        <v>1265.9916720000001</v>
      </c>
      <c r="G302" s="8">
        <f t="shared" si="9"/>
        <v>119.52832799999999</v>
      </c>
      <c r="I302" t="str">
        <v>04-Apr</v>
      </c>
      <c r="L302" t="b">
        <v>0</v>
      </c>
      <c r="N302" t="b">
        <v>0</v>
      </c>
    </row>
    <row r="303" spans="1:14" x14ac:dyDescent="0.35">
      <c r="A303">
        <v>344.36</v>
      </c>
      <c r="B303">
        <v>4</v>
      </c>
      <c r="C303">
        <v>0.28320000000000001</v>
      </c>
      <c r="D303">
        <v>90.66</v>
      </c>
      <c r="F303" s="7">
        <f t="shared" si="8"/>
        <v>987.34899200000007</v>
      </c>
      <c r="G303" s="8">
        <f t="shared" si="9"/>
        <v>480.75100800000007</v>
      </c>
      <c r="I303" t="str">
        <v>03-Mar</v>
      </c>
      <c r="L303" t="b">
        <v>0</v>
      </c>
      <c r="N303" t="b">
        <v>0</v>
      </c>
    </row>
    <row r="304" spans="1:14" x14ac:dyDescent="0.35">
      <c r="A304">
        <v>306.58999999999997</v>
      </c>
      <c r="B304">
        <v>4</v>
      </c>
      <c r="C304">
        <v>0.21420000000000003</v>
      </c>
      <c r="D304">
        <v>65.69</v>
      </c>
      <c r="F304" s="7">
        <f t="shared" si="8"/>
        <v>963.67368799999986</v>
      </c>
      <c r="G304" s="8">
        <f t="shared" si="9"/>
        <v>328.37631199999998</v>
      </c>
      <c r="I304" t="str">
        <v>11-Nov</v>
      </c>
      <c r="L304" t="b">
        <v>0</v>
      </c>
      <c r="N304" t="b">
        <v>0</v>
      </c>
    </row>
    <row r="305" spans="1:14" x14ac:dyDescent="0.35">
      <c r="A305">
        <v>482.88</v>
      </c>
      <c r="B305">
        <v>5</v>
      </c>
      <c r="C305">
        <v>0.1094</v>
      </c>
      <c r="D305">
        <v>34.159999999999997</v>
      </c>
      <c r="F305" s="7">
        <f t="shared" si="8"/>
        <v>2150.2646400000003</v>
      </c>
      <c r="G305" s="8">
        <f t="shared" si="9"/>
        <v>298.29535999999996</v>
      </c>
      <c r="I305" t="str">
        <v>11-Nov</v>
      </c>
      <c r="L305" t="b">
        <v>0</v>
      </c>
      <c r="N305" t="b">
        <v>0</v>
      </c>
    </row>
    <row r="306" spans="1:14" x14ac:dyDescent="0.35">
      <c r="A306">
        <v>163.6</v>
      </c>
      <c r="B306">
        <v>5</v>
      </c>
      <c r="C306">
        <v>2.8300000000000002E-2</v>
      </c>
      <c r="D306">
        <v>87.95</v>
      </c>
      <c r="F306" s="7">
        <f t="shared" si="8"/>
        <v>794.85059999999999</v>
      </c>
      <c r="G306" s="8">
        <f t="shared" si="9"/>
        <v>111.0994</v>
      </c>
      <c r="I306" t="str">
        <v>08-Aug</v>
      </c>
      <c r="L306" t="b">
        <v>0</v>
      </c>
      <c r="N306" t="b">
        <v>0</v>
      </c>
    </row>
    <row r="307" spans="1:14" x14ac:dyDescent="0.35">
      <c r="A307">
        <v>159.86000000000001</v>
      </c>
      <c r="B307">
        <v>3</v>
      </c>
      <c r="C307">
        <v>0.22070000000000001</v>
      </c>
      <c r="D307">
        <v>22.32</v>
      </c>
      <c r="F307" s="7">
        <f t="shared" si="8"/>
        <v>373.73669400000006</v>
      </c>
      <c r="G307" s="8">
        <f t="shared" si="9"/>
        <v>128.16330600000001</v>
      </c>
      <c r="I307" t="str">
        <v>09-Sep</v>
      </c>
      <c r="L307" t="b">
        <v>0</v>
      </c>
      <c r="N307" t="b">
        <v>0</v>
      </c>
    </row>
    <row r="308" spans="1:14" x14ac:dyDescent="0.35">
      <c r="A308">
        <v>149.80000000000001</v>
      </c>
      <c r="B308">
        <v>5</v>
      </c>
      <c r="C308">
        <v>4.0000000000000001E-3</v>
      </c>
      <c r="D308">
        <v>47.33</v>
      </c>
      <c r="F308" s="7">
        <f t="shared" si="8"/>
        <v>746.00400000000002</v>
      </c>
      <c r="G308" s="8">
        <f t="shared" si="9"/>
        <v>50.326000000000001</v>
      </c>
      <c r="I308" t="str">
        <v>12-Dec</v>
      </c>
      <c r="L308" t="b">
        <v>0</v>
      </c>
      <c r="N308" t="b">
        <v>0</v>
      </c>
    </row>
    <row r="309" spans="1:14" x14ac:dyDescent="0.35">
      <c r="A309">
        <v>55.67</v>
      </c>
      <c r="B309">
        <v>4</v>
      </c>
      <c r="C309">
        <v>0.18160000000000001</v>
      </c>
      <c r="D309">
        <v>13.04</v>
      </c>
      <c r="F309" s="7">
        <f t="shared" si="8"/>
        <v>182.24131200000002</v>
      </c>
      <c r="G309" s="8">
        <f t="shared" si="9"/>
        <v>53.478688000000005</v>
      </c>
      <c r="I309" t="str">
        <v>07-Jul</v>
      </c>
      <c r="L309" t="b">
        <v>0</v>
      </c>
      <c r="N309" t="b">
        <v>0</v>
      </c>
    </row>
    <row r="310" spans="1:14" x14ac:dyDescent="0.35">
      <c r="A310">
        <v>79.14</v>
      </c>
      <c r="B310">
        <v>4</v>
      </c>
      <c r="C310">
        <v>0.10199999999999999</v>
      </c>
      <c r="D310">
        <v>78.86</v>
      </c>
      <c r="F310" s="7">
        <f t="shared" si="8"/>
        <v>284.27088000000003</v>
      </c>
      <c r="G310" s="8">
        <f t="shared" si="9"/>
        <v>111.14912</v>
      </c>
      <c r="I310" t="str">
        <v>04-Apr</v>
      </c>
      <c r="L310" t="b">
        <v>0</v>
      </c>
      <c r="N310" t="b">
        <v>0</v>
      </c>
    </row>
    <row r="311" spans="1:14" x14ac:dyDescent="0.35">
      <c r="A311">
        <v>176.27</v>
      </c>
      <c r="B311">
        <v>4</v>
      </c>
      <c r="C311">
        <v>0.36299999999999999</v>
      </c>
      <c r="D311">
        <v>56.75</v>
      </c>
      <c r="F311" s="7">
        <f t="shared" si="8"/>
        <v>449.13596000000001</v>
      </c>
      <c r="G311" s="8">
        <f t="shared" si="9"/>
        <v>312.69403999999997</v>
      </c>
      <c r="I311" t="str">
        <v>05-May</v>
      </c>
      <c r="L311" t="b">
        <v>0</v>
      </c>
      <c r="N311" t="b">
        <v>0</v>
      </c>
    </row>
    <row r="312" spans="1:14" x14ac:dyDescent="0.35">
      <c r="A312">
        <v>452.05</v>
      </c>
      <c r="B312">
        <v>4</v>
      </c>
      <c r="C312">
        <v>0.38819999999999999</v>
      </c>
      <c r="D312">
        <v>71.760000000000005</v>
      </c>
      <c r="F312" s="7">
        <f t="shared" si="8"/>
        <v>1106.25676</v>
      </c>
      <c r="G312" s="8">
        <f t="shared" si="9"/>
        <v>773.70323999999994</v>
      </c>
      <c r="I312" t="str">
        <v>12-Dec</v>
      </c>
      <c r="L312" t="b">
        <v>0</v>
      </c>
      <c r="N312" t="b">
        <v>0</v>
      </c>
    </row>
    <row r="313" spans="1:14" x14ac:dyDescent="0.35">
      <c r="A313">
        <v>373.44</v>
      </c>
      <c r="B313">
        <v>3</v>
      </c>
      <c r="C313">
        <v>8.8000000000000009E-2</v>
      </c>
      <c r="D313">
        <v>60.43</v>
      </c>
      <c r="F313" s="7">
        <f t="shared" si="8"/>
        <v>1021.73184</v>
      </c>
      <c r="G313" s="8">
        <f t="shared" si="9"/>
        <v>159.01815999999999</v>
      </c>
      <c r="I313" t="str">
        <v>09-Sep</v>
      </c>
      <c r="L313" t="b">
        <v>0</v>
      </c>
      <c r="N313" t="b">
        <v>0</v>
      </c>
    </row>
    <row r="314" spans="1:14" x14ac:dyDescent="0.35">
      <c r="A314">
        <v>259.52</v>
      </c>
      <c r="B314">
        <v>5</v>
      </c>
      <c r="C314">
        <v>0.45689999999999997</v>
      </c>
      <c r="D314">
        <v>29.49</v>
      </c>
      <c r="F314" s="7">
        <f t="shared" si="8"/>
        <v>704.72655999999995</v>
      </c>
      <c r="G314" s="8">
        <f t="shared" si="9"/>
        <v>622.36343999999997</v>
      </c>
      <c r="I314" t="str">
        <v>12-Dec</v>
      </c>
      <c r="L314" t="b">
        <v>0</v>
      </c>
      <c r="N314" t="b">
        <v>0</v>
      </c>
    </row>
    <row r="315" spans="1:14" x14ac:dyDescent="0.35">
      <c r="A315">
        <v>302.49</v>
      </c>
      <c r="B315">
        <v>5</v>
      </c>
      <c r="C315">
        <v>0.22600000000000001</v>
      </c>
      <c r="D315">
        <v>11.47</v>
      </c>
      <c r="F315" s="7">
        <f t="shared" si="8"/>
        <v>1170.6363000000001</v>
      </c>
      <c r="G315" s="8">
        <f t="shared" si="9"/>
        <v>353.28370000000007</v>
      </c>
      <c r="I315" t="str">
        <v>11-Nov</v>
      </c>
      <c r="L315" t="b">
        <v>0</v>
      </c>
      <c r="N315" t="b">
        <v>0</v>
      </c>
    </row>
    <row r="316" spans="1:14" x14ac:dyDescent="0.35">
      <c r="A316">
        <v>118.74</v>
      </c>
      <c r="B316">
        <v>4</v>
      </c>
      <c r="C316">
        <v>0.1981</v>
      </c>
      <c r="D316">
        <v>27.65</v>
      </c>
      <c r="F316" s="7">
        <f t="shared" si="8"/>
        <v>380.87042400000001</v>
      </c>
      <c r="G316" s="8">
        <f t="shared" si="9"/>
        <v>121.739576</v>
      </c>
      <c r="I316" t="str">
        <v>08-Aug</v>
      </c>
      <c r="L316" t="b">
        <v>0</v>
      </c>
      <c r="N316" t="b">
        <v>0</v>
      </c>
    </row>
    <row r="317" spans="1:14" x14ac:dyDescent="0.35">
      <c r="A317">
        <v>427.54</v>
      </c>
      <c r="B317">
        <v>3</v>
      </c>
      <c r="C317">
        <v>0.441</v>
      </c>
      <c r="D317">
        <v>70.319999999999993</v>
      </c>
      <c r="F317" s="7">
        <f t="shared" si="8"/>
        <v>716.98457999999994</v>
      </c>
      <c r="G317" s="8">
        <f t="shared" si="9"/>
        <v>635.95542</v>
      </c>
      <c r="I317" t="str">
        <v>01-Jan</v>
      </c>
      <c r="L317" t="b">
        <v>1</v>
      </c>
      <c r="N317" t="b">
        <v>0</v>
      </c>
    </row>
    <row r="318" spans="1:14" x14ac:dyDescent="0.35">
      <c r="A318">
        <v>486.77</v>
      </c>
      <c r="B318">
        <v>4</v>
      </c>
      <c r="C318">
        <v>3.1699999999999999E-2</v>
      </c>
      <c r="D318">
        <v>33.89</v>
      </c>
      <c r="F318" s="7">
        <f t="shared" si="8"/>
        <v>1885.3575640000001</v>
      </c>
      <c r="G318" s="8">
        <f t="shared" si="9"/>
        <v>95.612436000000002</v>
      </c>
      <c r="I318" t="str">
        <v>12-Dec</v>
      </c>
      <c r="L318" t="b">
        <v>0</v>
      </c>
      <c r="N318" t="b">
        <v>0</v>
      </c>
    </row>
    <row r="319" spans="1:14" x14ac:dyDescent="0.35">
      <c r="A319">
        <v>315.16000000000003</v>
      </c>
      <c r="B319">
        <v>3</v>
      </c>
      <c r="C319">
        <v>0.4471</v>
      </c>
      <c r="D319">
        <v>41.31</v>
      </c>
      <c r="F319" s="7">
        <f t="shared" si="8"/>
        <v>522.7558919999999</v>
      </c>
      <c r="G319" s="8">
        <f t="shared" si="9"/>
        <v>464.034108</v>
      </c>
      <c r="I319" t="str">
        <v>09-Sep</v>
      </c>
      <c r="L319" t="b">
        <v>0</v>
      </c>
      <c r="N319" t="b">
        <v>0</v>
      </c>
    </row>
    <row r="320" spans="1:14" x14ac:dyDescent="0.35">
      <c r="A320">
        <v>407.62</v>
      </c>
      <c r="B320">
        <v>5</v>
      </c>
      <c r="C320">
        <v>0.34570000000000001</v>
      </c>
      <c r="D320">
        <v>97.81</v>
      </c>
      <c r="F320" s="7">
        <f t="shared" si="8"/>
        <v>1333.52883</v>
      </c>
      <c r="G320" s="8">
        <f t="shared" si="9"/>
        <v>802.38116999999988</v>
      </c>
      <c r="I320" t="str">
        <v>12-Dec</v>
      </c>
      <c r="L320" t="b">
        <v>0</v>
      </c>
      <c r="N320" t="b">
        <v>0</v>
      </c>
    </row>
    <row r="321" spans="1:14" x14ac:dyDescent="0.35">
      <c r="A321">
        <v>270.07</v>
      </c>
      <c r="B321">
        <v>4</v>
      </c>
      <c r="C321">
        <v>0.2324</v>
      </c>
      <c r="D321">
        <v>62.2</v>
      </c>
      <c r="F321" s="7">
        <f t="shared" si="8"/>
        <v>829.22292800000002</v>
      </c>
      <c r="G321" s="8">
        <f t="shared" si="9"/>
        <v>313.25707199999999</v>
      </c>
      <c r="I321" t="str">
        <v>02-Feb</v>
      </c>
      <c r="L321" t="b">
        <v>0</v>
      </c>
      <c r="N321" t="b">
        <v>0</v>
      </c>
    </row>
    <row r="322" spans="1:14" x14ac:dyDescent="0.35">
      <c r="A322">
        <v>225.48</v>
      </c>
      <c r="B322">
        <v>4</v>
      </c>
      <c r="C322">
        <v>0.29430000000000001</v>
      </c>
      <c r="D322">
        <v>14.95</v>
      </c>
      <c r="F322" s="7">
        <f t="shared" si="8"/>
        <v>636.48494399999993</v>
      </c>
      <c r="G322" s="8">
        <f t="shared" si="9"/>
        <v>280.38505599999996</v>
      </c>
      <c r="I322" t="str">
        <v>12-Dec</v>
      </c>
      <c r="L322" t="b">
        <v>0</v>
      </c>
      <c r="N322" t="b">
        <v>0</v>
      </c>
    </row>
    <row r="323" spans="1:14" x14ac:dyDescent="0.35">
      <c r="A323">
        <v>485.59</v>
      </c>
      <c r="B323">
        <v>3</v>
      </c>
      <c r="C323">
        <v>0.25440000000000002</v>
      </c>
      <c r="D323">
        <v>51.84</v>
      </c>
      <c r="F323" s="7">
        <f t="shared" ref="F323:F386" si="10">($A323*$B323)*(1-$C323)</f>
        <v>1086.1677119999999</v>
      </c>
      <c r="G323" s="8">
        <f t="shared" ref="G323:G386" si="11">D323+(A323*B323*C323)</f>
        <v>422.44228800000008</v>
      </c>
      <c r="I323" t="str">
        <v>09-Sep</v>
      </c>
      <c r="L323" t="b">
        <v>0</v>
      </c>
      <c r="N323" t="b">
        <v>0</v>
      </c>
    </row>
    <row r="324" spans="1:14" x14ac:dyDescent="0.35">
      <c r="A324">
        <v>451.66</v>
      </c>
      <c r="B324">
        <v>4</v>
      </c>
      <c r="C324">
        <v>0.21780000000000002</v>
      </c>
      <c r="D324">
        <v>71.12</v>
      </c>
      <c r="F324" s="7">
        <f t="shared" si="10"/>
        <v>1413.153808</v>
      </c>
      <c r="G324" s="8">
        <f t="shared" si="11"/>
        <v>464.60619200000008</v>
      </c>
      <c r="I324" t="str">
        <v>10-Oct</v>
      </c>
      <c r="L324" t="b">
        <v>0</v>
      </c>
      <c r="N324" t="b">
        <v>0</v>
      </c>
    </row>
    <row r="325" spans="1:14" x14ac:dyDescent="0.35">
      <c r="A325">
        <v>398.48</v>
      </c>
      <c r="B325">
        <v>4</v>
      </c>
      <c r="C325">
        <v>0.12839999999999999</v>
      </c>
      <c r="D325">
        <v>47.9</v>
      </c>
      <c r="F325" s="7">
        <f t="shared" si="10"/>
        <v>1389.2606720000001</v>
      </c>
      <c r="G325" s="8">
        <f t="shared" si="11"/>
        <v>252.55932799999999</v>
      </c>
      <c r="I325" t="str">
        <v>01-Jan</v>
      </c>
      <c r="L325" t="b">
        <v>1</v>
      </c>
      <c r="N325" t="b">
        <v>0</v>
      </c>
    </row>
    <row r="326" spans="1:14" x14ac:dyDescent="0.35">
      <c r="A326">
        <v>137.05000000000001</v>
      </c>
      <c r="B326">
        <v>4</v>
      </c>
      <c r="C326">
        <v>0.44530000000000003</v>
      </c>
      <c r="D326">
        <v>98.43</v>
      </c>
      <c r="F326" s="7">
        <f t="shared" si="10"/>
        <v>304.08654000000001</v>
      </c>
      <c r="G326" s="8">
        <f t="shared" si="11"/>
        <v>342.54346000000004</v>
      </c>
      <c r="I326" t="str">
        <v>01-Jan</v>
      </c>
      <c r="L326" t="b">
        <v>1</v>
      </c>
      <c r="N326" t="b">
        <v>0</v>
      </c>
    </row>
    <row r="327" spans="1:14" x14ac:dyDescent="0.35">
      <c r="A327">
        <v>169.86</v>
      </c>
      <c r="B327">
        <v>5</v>
      </c>
      <c r="C327">
        <v>0.36119999999999997</v>
      </c>
      <c r="D327">
        <v>70.39</v>
      </c>
      <c r="F327" s="7">
        <f t="shared" si="10"/>
        <v>542.53284000000008</v>
      </c>
      <c r="G327" s="8">
        <f t="shared" si="11"/>
        <v>377.15715999999998</v>
      </c>
      <c r="I327" t="str">
        <v>05-May</v>
      </c>
      <c r="L327" t="b">
        <v>0</v>
      </c>
      <c r="N327" t="b">
        <v>0</v>
      </c>
    </row>
    <row r="328" spans="1:14" x14ac:dyDescent="0.35">
      <c r="A328">
        <v>193.24</v>
      </c>
      <c r="B328">
        <v>3</v>
      </c>
      <c r="C328">
        <v>0.47229999999999994</v>
      </c>
      <c r="D328">
        <v>10.220000000000001</v>
      </c>
      <c r="F328" s="7">
        <f t="shared" si="10"/>
        <v>305.91824400000007</v>
      </c>
      <c r="G328" s="8">
        <f t="shared" si="11"/>
        <v>284.02175599999998</v>
      </c>
      <c r="I328" t="str">
        <v>07-Jul</v>
      </c>
      <c r="L328" t="b">
        <v>0</v>
      </c>
      <c r="N328" t="b">
        <v>0</v>
      </c>
    </row>
    <row r="329" spans="1:14" x14ac:dyDescent="0.35">
      <c r="A329">
        <v>262.36</v>
      </c>
      <c r="B329">
        <v>3</v>
      </c>
      <c r="C329">
        <v>0.15049999999999999</v>
      </c>
      <c r="D329">
        <v>12.33</v>
      </c>
      <c r="F329" s="7">
        <f t="shared" si="10"/>
        <v>668.62446000000011</v>
      </c>
      <c r="G329" s="8">
        <f t="shared" si="11"/>
        <v>130.78554</v>
      </c>
      <c r="I329" t="str">
        <v>05-May</v>
      </c>
      <c r="L329" t="b">
        <v>0</v>
      </c>
      <c r="N329" t="b">
        <v>0</v>
      </c>
    </row>
    <row r="330" spans="1:14" x14ac:dyDescent="0.35">
      <c r="A330">
        <v>314.82</v>
      </c>
      <c r="B330">
        <v>4</v>
      </c>
      <c r="C330">
        <v>3.6400000000000002E-2</v>
      </c>
      <c r="D330">
        <v>17.43</v>
      </c>
      <c r="F330" s="7">
        <f t="shared" si="10"/>
        <v>1213.4422079999999</v>
      </c>
      <c r="G330" s="8">
        <f t="shared" si="11"/>
        <v>63.267792</v>
      </c>
      <c r="I330" t="str">
        <v>08-Aug</v>
      </c>
      <c r="L330" t="b">
        <v>0</v>
      </c>
      <c r="N330" t="b">
        <v>0</v>
      </c>
    </row>
    <row r="331" spans="1:14" x14ac:dyDescent="0.35">
      <c r="A331">
        <v>413.63</v>
      </c>
      <c r="B331">
        <v>3</v>
      </c>
      <c r="C331">
        <v>0.47389999999999999</v>
      </c>
      <c r="D331">
        <v>14.03</v>
      </c>
      <c r="F331" s="7">
        <f t="shared" si="10"/>
        <v>652.83222899999998</v>
      </c>
      <c r="G331" s="8">
        <f t="shared" si="11"/>
        <v>602.08777099999986</v>
      </c>
      <c r="I331" t="str">
        <v>09-Sep</v>
      </c>
      <c r="L331" t="b">
        <v>0</v>
      </c>
      <c r="N331" t="b">
        <v>0</v>
      </c>
    </row>
    <row r="332" spans="1:14" x14ac:dyDescent="0.35">
      <c r="A332">
        <v>466.46</v>
      </c>
      <c r="B332">
        <v>3</v>
      </c>
      <c r="C332">
        <v>0.2591</v>
      </c>
      <c r="D332">
        <v>14.82</v>
      </c>
      <c r="F332" s="7">
        <f t="shared" si="10"/>
        <v>1036.8006419999999</v>
      </c>
      <c r="G332" s="8">
        <f t="shared" si="11"/>
        <v>377.39935799999995</v>
      </c>
      <c r="I332" t="str">
        <v>06-Jun</v>
      </c>
      <c r="L332" t="b">
        <v>0</v>
      </c>
      <c r="N332" t="b">
        <v>0</v>
      </c>
    </row>
    <row r="333" spans="1:14" x14ac:dyDescent="0.35">
      <c r="A333">
        <v>361.47</v>
      </c>
      <c r="B333">
        <v>4</v>
      </c>
      <c r="C333">
        <v>0.29499999999999998</v>
      </c>
      <c r="D333">
        <v>34.82</v>
      </c>
      <c r="F333" s="7">
        <f t="shared" si="10"/>
        <v>1019.3454000000002</v>
      </c>
      <c r="G333" s="8">
        <f t="shared" si="11"/>
        <v>461.3546</v>
      </c>
      <c r="I333" t="str">
        <v>03-Mar</v>
      </c>
      <c r="L333" t="b">
        <v>0</v>
      </c>
      <c r="N333" t="b">
        <v>0</v>
      </c>
    </row>
    <row r="334" spans="1:14" x14ac:dyDescent="0.35">
      <c r="A334">
        <v>292.27</v>
      </c>
      <c r="B334">
        <v>3</v>
      </c>
      <c r="C334">
        <v>0.27960000000000002</v>
      </c>
      <c r="D334">
        <v>26.42</v>
      </c>
      <c r="F334" s="7">
        <f t="shared" si="10"/>
        <v>631.65392399999985</v>
      </c>
      <c r="G334" s="8">
        <f t="shared" si="11"/>
        <v>271.576076</v>
      </c>
      <c r="I334" t="str">
        <v>07-Jul</v>
      </c>
      <c r="L334" t="b">
        <v>0</v>
      </c>
      <c r="N334" t="b">
        <v>0</v>
      </c>
    </row>
    <row r="335" spans="1:14" x14ac:dyDescent="0.35">
      <c r="A335">
        <v>130.19999999999999</v>
      </c>
      <c r="B335">
        <v>4</v>
      </c>
      <c r="C335">
        <v>8.3000000000000004E-2</v>
      </c>
      <c r="D335">
        <v>87.83</v>
      </c>
      <c r="F335" s="7">
        <f t="shared" si="10"/>
        <v>477.5736</v>
      </c>
      <c r="G335" s="8">
        <f t="shared" si="11"/>
        <v>131.0564</v>
      </c>
      <c r="I335" t="str">
        <v>09-Sep</v>
      </c>
      <c r="L335" t="b">
        <v>0</v>
      </c>
      <c r="N335" t="b">
        <v>0</v>
      </c>
    </row>
    <row r="336" spans="1:14" x14ac:dyDescent="0.35">
      <c r="A336">
        <v>159.71</v>
      </c>
      <c r="B336">
        <v>4</v>
      </c>
      <c r="C336">
        <v>0.28160000000000002</v>
      </c>
      <c r="D336">
        <v>87.6</v>
      </c>
      <c r="F336" s="7">
        <f t="shared" si="10"/>
        <v>458.942656</v>
      </c>
      <c r="G336" s="8">
        <f t="shared" si="11"/>
        <v>267.497344</v>
      </c>
      <c r="I336" t="str">
        <v>12-Dec</v>
      </c>
      <c r="L336" t="b">
        <v>0</v>
      </c>
      <c r="N336" t="b">
        <v>0</v>
      </c>
    </row>
    <row r="337" spans="1:14" x14ac:dyDescent="0.35">
      <c r="A337">
        <v>193.46</v>
      </c>
      <c r="B337">
        <v>4</v>
      </c>
      <c r="C337">
        <v>7.8299999999999995E-2</v>
      </c>
      <c r="D337">
        <v>78.349999999999994</v>
      </c>
      <c r="F337" s="7">
        <f t="shared" si="10"/>
        <v>713.24832800000001</v>
      </c>
      <c r="G337" s="8">
        <f t="shared" si="11"/>
        <v>138.94167199999998</v>
      </c>
      <c r="I337" t="str">
        <v>11-Nov</v>
      </c>
      <c r="L337" t="b">
        <v>0</v>
      </c>
      <c r="N337" t="b">
        <v>0</v>
      </c>
    </row>
    <row r="338" spans="1:14" x14ac:dyDescent="0.35">
      <c r="A338">
        <v>134.37</v>
      </c>
      <c r="B338">
        <v>4</v>
      </c>
      <c r="C338">
        <v>5.7099999999999998E-2</v>
      </c>
      <c r="D338">
        <v>37.6</v>
      </c>
      <c r="F338" s="7">
        <f t="shared" si="10"/>
        <v>506.78989200000001</v>
      </c>
      <c r="G338" s="8">
        <f t="shared" si="11"/>
        <v>68.290108000000004</v>
      </c>
      <c r="I338" t="str">
        <v>06-Jun</v>
      </c>
      <c r="L338" t="b">
        <v>0</v>
      </c>
      <c r="N338" t="b">
        <v>0</v>
      </c>
    </row>
    <row r="339" spans="1:14" x14ac:dyDescent="0.35">
      <c r="A339">
        <v>245.18</v>
      </c>
      <c r="B339">
        <v>3</v>
      </c>
      <c r="C339">
        <v>1.9E-3</v>
      </c>
      <c r="D339">
        <v>10.92</v>
      </c>
      <c r="F339" s="7">
        <f t="shared" si="10"/>
        <v>734.14247399999999</v>
      </c>
      <c r="G339" s="8">
        <f t="shared" si="11"/>
        <v>12.317525999999999</v>
      </c>
      <c r="I339" t="str">
        <v>08-Aug</v>
      </c>
      <c r="L339" t="b">
        <v>0</v>
      </c>
      <c r="N339" t="b">
        <v>0</v>
      </c>
    </row>
    <row r="340" spans="1:14" x14ac:dyDescent="0.35">
      <c r="A340">
        <v>200.03</v>
      </c>
      <c r="B340">
        <v>5</v>
      </c>
      <c r="C340">
        <v>0.3206</v>
      </c>
      <c r="D340">
        <v>50.19</v>
      </c>
      <c r="F340" s="7">
        <f t="shared" si="10"/>
        <v>679.50190999999995</v>
      </c>
      <c r="G340" s="8">
        <f t="shared" si="11"/>
        <v>370.83808999999997</v>
      </c>
      <c r="I340" t="str">
        <v>05-May</v>
      </c>
      <c r="L340" t="b">
        <v>0</v>
      </c>
      <c r="N340" t="b">
        <v>0</v>
      </c>
    </row>
    <row r="341" spans="1:14" x14ac:dyDescent="0.35">
      <c r="A341">
        <v>171.28</v>
      </c>
      <c r="B341">
        <v>5</v>
      </c>
      <c r="C341">
        <v>0.4047</v>
      </c>
      <c r="D341">
        <v>39.83</v>
      </c>
      <c r="F341" s="7">
        <f t="shared" si="10"/>
        <v>509.81491999999992</v>
      </c>
      <c r="G341" s="8">
        <f t="shared" si="11"/>
        <v>386.41507999999999</v>
      </c>
      <c r="I341" t="str">
        <v>06-Jun</v>
      </c>
      <c r="L341" t="b">
        <v>0</v>
      </c>
      <c r="N341" t="b">
        <v>0</v>
      </c>
    </row>
    <row r="342" spans="1:14" x14ac:dyDescent="0.35">
      <c r="A342">
        <v>350.06</v>
      </c>
      <c r="B342">
        <v>4</v>
      </c>
      <c r="C342">
        <v>0.16760000000000003</v>
      </c>
      <c r="D342">
        <v>13.94</v>
      </c>
      <c r="F342" s="7">
        <f t="shared" si="10"/>
        <v>1165.5597760000001</v>
      </c>
      <c r="G342" s="8">
        <f t="shared" si="11"/>
        <v>248.62022400000004</v>
      </c>
      <c r="I342" t="str">
        <v>12-Dec</v>
      </c>
      <c r="L342" t="b">
        <v>0</v>
      </c>
      <c r="N342" t="b">
        <v>0</v>
      </c>
    </row>
    <row r="343" spans="1:14" x14ac:dyDescent="0.35">
      <c r="A343">
        <v>486.7</v>
      </c>
      <c r="B343">
        <v>3</v>
      </c>
      <c r="C343">
        <v>0.21030000000000001</v>
      </c>
      <c r="D343">
        <v>22.62</v>
      </c>
      <c r="F343" s="7">
        <f t="shared" si="10"/>
        <v>1153.0409699999998</v>
      </c>
      <c r="G343" s="8">
        <f t="shared" si="11"/>
        <v>329.67903000000001</v>
      </c>
      <c r="I343" t="str">
        <v>09-Sep</v>
      </c>
      <c r="L343" t="b">
        <v>0</v>
      </c>
      <c r="N343" t="b">
        <v>0</v>
      </c>
    </row>
    <row r="344" spans="1:14" x14ac:dyDescent="0.35">
      <c r="A344">
        <v>168</v>
      </c>
      <c r="B344">
        <v>3</v>
      </c>
      <c r="C344">
        <v>1.52E-2</v>
      </c>
      <c r="D344">
        <v>92.26</v>
      </c>
      <c r="F344" s="7">
        <f t="shared" si="10"/>
        <v>496.33920000000001</v>
      </c>
      <c r="G344" s="8">
        <f t="shared" si="11"/>
        <v>99.9208</v>
      </c>
      <c r="I344" t="str">
        <v>05-May</v>
      </c>
      <c r="L344" t="b">
        <v>0</v>
      </c>
      <c r="N344" t="b">
        <v>0</v>
      </c>
    </row>
    <row r="345" spans="1:14" x14ac:dyDescent="0.35">
      <c r="A345">
        <v>131.25</v>
      </c>
      <c r="B345">
        <v>3</v>
      </c>
      <c r="C345">
        <v>0.26419999999999999</v>
      </c>
      <c r="D345">
        <v>99.86</v>
      </c>
      <c r="F345" s="7">
        <f t="shared" si="10"/>
        <v>289.72125</v>
      </c>
      <c r="G345" s="8">
        <f t="shared" si="11"/>
        <v>203.88875000000002</v>
      </c>
      <c r="I345" t="str">
        <v>07-Jul</v>
      </c>
      <c r="L345" t="b">
        <v>0</v>
      </c>
      <c r="N345" t="b">
        <v>0</v>
      </c>
    </row>
    <row r="346" spans="1:14" x14ac:dyDescent="0.35">
      <c r="A346">
        <v>239.88</v>
      </c>
      <c r="B346">
        <v>5</v>
      </c>
      <c r="C346">
        <v>3.7100000000000001E-2</v>
      </c>
      <c r="D346">
        <v>28.06</v>
      </c>
      <c r="F346" s="7">
        <f t="shared" si="10"/>
        <v>1154.9022600000001</v>
      </c>
      <c r="G346" s="8">
        <f t="shared" si="11"/>
        <v>72.55774000000001</v>
      </c>
      <c r="I346" t="str">
        <v>05-May</v>
      </c>
      <c r="L346" t="b">
        <v>0</v>
      </c>
      <c r="N346" t="b">
        <v>0</v>
      </c>
    </row>
    <row r="347" spans="1:14" x14ac:dyDescent="0.35">
      <c r="A347">
        <v>52.2</v>
      </c>
      <c r="B347">
        <v>3</v>
      </c>
      <c r="C347">
        <v>0.24979999999999999</v>
      </c>
      <c r="D347">
        <v>16.239999999999998</v>
      </c>
      <c r="F347" s="7">
        <f t="shared" si="10"/>
        <v>117.48132000000001</v>
      </c>
      <c r="G347" s="8">
        <f t="shared" si="11"/>
        <v>55.358680000000007</v>
      </c>
      <c r="I347" t="str">
        <v>06-Jun</v>
      </c>
      <c r="L347" t="b">
        <v>0</v>
      </c>
      <c r="N347" t="b">
        <v>0</v>
      </c>
    </row>
    <row r="348" spans="1:14" x14ac:dyDescent="0.35">
      <c r="A348">
        <v>411.65</v>
      </c>
      <c r="B348">
        <v>3</v>
      </c>
      <c r="C348">
        <v>0.20499999999999999</v>
      </c>
      <c r="D348">
        <v>71.040000000000006</v>
      </c>
      <c r="F348" s="7">
        <f t="shared" si="10"/>
        <v>981.78524999999991</v>
      </c>
      <c r="G348" s="8">
        <f t="shared" si="11"/>
        <v>324.20474999999993</v>
      </c>
      <c r="I348" t="str">
        <v>04-Apr</v>
      </c>
      <c r="L348" t="b">
        <v>0</v>
      </c>
      <c r="N348" t="b">
        <v>0</v>
      </c>
    </row>
    <row r="349" spans="1:14" x14ac:dyDescent="0.35">
      <c r="A349">
        <v>83.39</v>
      </c>
      <c r="B349">
        <v>5</v>
      </c>
      <c r="C349">
        <v>0.33240000000000003</v>
      </c>
      <c r="D349">
        <v>61.75</v>
      </c>
      <c r="F349" s="7">
        <f t="shared" si="10"/>
        <v>278.35581999999999</v>
      </c>
      <c r="G349" s="8">
        <f t="shared" si="11"/>
        <v>200.34417999999999</v>
      </c>
      <c r="I349" t="str">
        <v>09-Sep</v>
      </c>
      <c r="L349" t="b">
        <v>0</v>
      </c>
      <c r="N349" t="b">
        <v>0</v>
      </c>
    </row>
    <row r="350" spans="1:14" x14ac:dyDescent="0.35">
      <c r="A350">
        <v>158.94999999999999</v>
      </c>
      <c r="B350">
        <v>5</v>
      </c>
      <c r="C350">
        <v>8.3999999999999995E-3</v>
      </c>
      <c r="D350">
        <v>55.65</v>
      </c>
      <c r="F350" s="7">
        <f t="shared" si="10"/>
        <v>788.07410000000004</v>
      </c>
      <c r="G350" s="8">
        <f t="shared" si="11"/>
        <v>62.325899999999997</v>
      </c>
      <c r="I350" t="str">
        <v>06-Jun</v>
      </c>
      <c r="L350" t="b">
        <v>0</v>
      </c>
      <c r="N350" t="b">
        <v>0</v>
      </c>
    </row>
    <row r="351" spans="1:14" x14ac:dyDescent="0.35">
      <c r="A351">
        <v>54.55</v>
      </c>
      <c r="B351">
        <v>3</v>
      </c>
      <c r="C351">
        <v>0.2959</v>
      </c>
      <c r="D351">
        <v>82.97</v>
      </c>
      <c r="F351" s="7">
        <f t="shared" si="10"/>
        <v>115.22596499999997</v>
      </c>
      <c r="G351" s="8">
        <f t="shared" si="11"/>
        <v>131.39403499999997</v>
      </c>
      <c r="I351" t="str">
        <v>07-Jul</v>
      </c>
      <c r="L351" t="b">
        <v>0</v>
      </c>
      <c r="N351" t="b">
        <v>0</v>
      </c>
    </row>
    <row r="352" spans="1:14" x14ac:dyDescent="0.35">
      <c r="A352">
        <v>415.83</v>
      </c>
      <c r="B352">
        <v>5</v>
      </c>
      <c r="C352">
        <v>0.24129999999999999</v>
      </c>
      <c r="D352">
        <v>31.92</v>
      </c>
      <c r="F352" s="7">
        <f t="shared" si="10"/>
        <v>1577.4511050000001</v>
      </c>
      <c r="G352" s="8">
        <f t="shared" si="11"/>
        <v>533.61889499999995</v>
      </c>
      <c r="I352" t="str">
        <v>11-Nov</v>
      </c>
      <c r="L352" t="b">
        <v>0</v>
      </c>
      <c r="N352" t="b">
        <v>0</v>
      </c>
    </row>
    <row r="353" spans="1:14" x14ac:dyDescent="0.35">
      <c r="A353">
        <v>226.08</v>
      </c>
      <c r="B353">
        <v>5</v>
      </c>
      <c r="C353">
        <v>3.32E-2</v>
      </c>
      <c r="D353">
        <v>47.77</v>
      </c>
      <c r="F353" s="7">
        <f t="shared" si="10"/>
        <v>1092.8707200000001</v>
      </c>
      <c r="G353" s="8">
        <f t="shared" si="11"/>
        <v>85.29928000000001</v>
      </c>
      <c r="I353" t="str">
        <v>02-Feb</v>
      </c>
      <c r="L353" t="b">
        <v>0</v>
      </c>
      <c r="N353" t="b">
        <v>0</v>
      </c>
    </row>
    <row r="354" spans="1:14" x14ac:dyDescent="0.35">
      <c r="A354">
        <v>291.52</v>
      </c>
      <c r="B354">
        <v>3</v>
      </c>
      <c r="C354">
        <v>0.44590000000000002</v>
      </c>
      <c r="D354">
        <v>94.08</v>
      </c>
      <c r="F354" s="7">
        <f t="shared" si="10"/>
        <v>484.59369600000002</v>
      </c>
      <c r="G354" s="8">
        <f t="shared" si="11"/>
        <v>484.04630399999996</v>
      </c>
      <c r="I354" t="str">
        <v>08-Aug</v>
      </c>
      <c r="L354" t="b">
        <v>0</v>
      </c>
      <c r="N354" t="b">
        <v>0</v>
      </c>
    </row>
    <row r="355" spans="1:14" x14ac:dyDescent="0.35">
      <c r="A355">
        <v>386.76</v>
      </c>
      <c r="B355">
        <v>4</v>
      </c>
      <c r="C355">
        <v>0.24059999999999998</v>
      </c>
      <c r="D355">
        <v>26.46</v>
      </c>
      <c r="F355" s="7">
        <f t="shared" si="10"/>
        <v>1174.8221760000001</v>
      </c>
      <c r="G355" s="8">
        <f t="shared" si="11"/>
        <v>398.67782399999993</v>
      </c>
      <c r="I355" t="str">
        <v>10-Oct</v>
      </c>
      <c r="L355" t="b">
        <v>0</v>
      </c>
      <c r="N355" t="b">
        <v>0</v>
      </c>
    </row>
    <row r="356" spans="1:14" x14ac:dyDescent="0.35">
      <c r="A356">
        <v>470.62</v>
      </c>
      <c r="B356">
        <v>3</v>
      </c>
      <c r="C356">
        <v>6.0999999999999999E-2</v>
      </c>
      <c r="D356">
        <v>58.68</v>
      </c>
      <c r="F356" s="7">
        <f t="shared" si="10"/>
        <v>1325.7365400000001</v>
      </c>
      <c r="G356" s="8">
        <f t="shared" si="11"/>
        <v>144.80346</v>
      </c>
      <c r="I356" t="str">
        <v>05-May</v>
      </c>
      <c r="L356" t="b">
        <v>0</v>
      </c>
      <c r="N356" t="b">
        <v>0</v>
      </c>
    </row>
    <row r="357" spans="1:14" x14ac:dyDescent="0.35">
      <c r="A357">
        <v>254.28</v>
      </c>
      <c r="B357">
        <v>3</v>
      </c>
      <c r="C357">
        <v>9.3999999999999986E-3</v>
      </c>
      <c r="D357">
        <v>42.69</v>
      </c>
      <c r="F357" s="7">
        <f t="shared" si="10"/>
        <v>755.66930400000001</v>
      </c>
      <c r="G357" s="8">
        <f t="shared" si="11"/>
        <v>49.860695999999997</v>
      </c>
      <c r="I357" t="str">
        <v>10-Oct</v>
      </c>
      <c r="L357" t="b">
        <v>0</v>
      </c>
      <c r="N357" t="b">
        <v>0</v>
      </c>
    </row>
    <row r="358" spans="1:14" x14ac:dyDescent="0.35">
      <c r="A358">
        <v>474.79</v>
      </c>
      <c r="B358">
        <v>4</v>
      </c>
      <c r="C358">
        <v>0.23180000000000001</v>
      </c>
      <c r="D358">
        <v>70.84</v>
      </c>
      <c r="F358" s="7">
        <f t="shared" si="10"/>
        <v>1458.934712</v>
      </c>
      <c r="G358" s="8">
        <f t="shared" si="11"/>
        <v>511.06528800000001</v>
      </c>
      <c r="I358" t="str">
        <v>10-Oct</v>
      </c>
      <c r="L358" t="b">
        <v>0</v>
      </c>
      <c r="N358" t="b">
        <v>0</v>
      </c>
    </row>
    <row r="359" spans="1:14" x14ac:dyDescent="0.35">
      <c r="A359">
        <v>321.33</v>
      </c>
      <c r="B359">
        <v>4</v>
      </c>
      <c r="C359">
        <v>0.3347</v>
      </c>
      <c r="D359">
        <v>23.4</v>
      </c>
      <c r="F359" s="7">
        <f t="shared" si="10"/>
        <v>855.12339599999996</v>
      </c>
      <c r="G359" s="8">
        <f t="shared" si="11"/>
        <v>453.59660399999996</v>
      </c>
      <c r="I359" t="str">
        <v>07-Jul</v>
      </c>
      <c r="L359" t="b">
        <v>0</v>
      </c>
      <c r="N359" t="b">
        <v>0</v>
      </c>
    </row>
    <row r="360" spans="1:14" x14ac:dyDescent="0.35">
      <c r="A360">
        <v>451.64</v>
      </c>
      <c r="B360">
        <v>4</v>
      </c>
      <c r="C360">
        <v>0.2278</v>
      </c>
      <c r="D360">
        <v>45.09</v>
      </c>
      <c r="F360" s="7">
        <f t="shared" si="10"/>
        <v>1395.0256319999999</v>
      </c>
      <c r="G360" s="8">
        <f t="shared" si="11"/>
        <v>456.624368</v>
      </c>
      <c r="I360" t="str">
        <v>07-Jul</v>
      </c>
      <c r="L360" t="b">
        <v>0</v>
      </c>
      <c r="N360" t="b">
        <v>0</v>
      </c>
    </row>
    <row r="361" spans="1:14" x14ac:dyDescent="0.35">
      <c r="A361">
        <v>371.25</v>
      </c>
      <c r="B361">
        <v>3</v>
      </c>
      <c r="C361">
        <v>0.4395</v>
      </c>
      <c r="D361">
        <v>68.41</v>
      </c>
      <c r="F361" s="7">
        <f t="shared" si="10"/>
        <v>624.25687500000004</v>
      </c>
      <c r="G361" s="8">
        <f t="shared" si="11"/>
        <v>557.90312500000005</v>
      </c>
      <c r="I361" t="str">
        <v>06-Jun</v>
      </c>
      <c r="L361" t="b">
        <v>0</v>
      </c>
      <c r="N361" t="b">
        <v>0</v>
      </c>
    </row>
    <row r="362" spans="1:14" x14ac:dyDescent="0.35">
      <c r="A362">
        <v>387.48</v>
      </c>
      <c r="B362">
        <v>4</v>
      </c>
      <c r="C362">
        <v>0.48859999999999998</v>
      </c>
      <c r="D362">
        <v>20.29</v>
      </c>
      <c r="F362" s="7">
        <f t="shared" si="10"/>
        <v>792.62908800000014</v>
      </c>
      <c r="G362" s="8">
        <f t="shared" si="11"/>
        <v>777.58091200000001</v>
      </c>
      <c r="I362" t="str">
        <v>02-Feb</v>
      </c>
      <c r="L362" t="b">
        <v>0</v>
      </c>
      <c r="N362" t="b">
        <v>0</v>
      </c>
    </row>
    <row r="363" spans="1:14" x14ac:dyDescent="0.35">
      <c r="A363">
        <v>269.70999999999998</v>
      </c>
      <c r="B363">
        <v>5</v>
      </c>
      <c r="C363">
        <v>0.10490000000000001</v>
      </c>
      <c r="D363">
        <v>27.6</v>
      </c>
      <c r="F363" s="7">
        <f t="shared" si="10"/>
        <v>1207.0871050000001</v>
      </c>
      <c r="G363" s="8">
        <f t="shared" si="11"/>
        <v>169.062895</v>
      </c>
      <c r="I363" t="str">
        <v>02-Feb</v>
      </c>
      <c r="L363" t="b">
        <v>0</v>
      </c>
      <c r="N363" t="b">
        <v>0</v>
      </c>
    </row>
    <row r="364" spans="1:14" x14ac:dyDescent="0.35">
      <c r="A364">
        <v>465.57</v>
      </c>
      <c r="B364">
        <v>5</v>
      </c>
      <c r="C364">
        <v>0.22739999999999999</v>
      </c>
      <c r="D364">
        <v>32.14</v>
      </c>
      <c r="F364" s="7">
        <f t="shared" si="10"/>
        <v>1798.4969099999998</v>
      </c>
      <c r="G364" s="8">
        <f t="shared" si="11"/>
        <v>561.49308999999994</v>
      </c>
      <c r="I364" t="str">
        <v>10-Oct</v>
      </c>
      <c r="L364" t="b">
        <v>0</v>
      </c>
      <c r="N364" t="b">
        <v>0</v>
      </c>
    </row>
    <row r="365" spans="1:14" x14ac:dyDescent="0.35">
      <c r="A365">
        <v>448.28</v>
      </c>
      <c r="B365">
        <v>3</v>
      </c>
      <c r="C365">
        <v>8.0000000000000004E-4</v>
      </c>
      <c r="D365">
        <v>21.39</v>
      </c>
      <c r="F365" s="7">
        <f t="shared" si="10"/>
        <v>1343.7641279999998</v>
      </c>
      <c r="G365" s="8">
        <f t="shared" si="11"/>
        <v>22.465872000000001</v>
      </c>
      <c r="I365" t="str">
        <v>08-Aug</v>
      </c>
      <c r="L365" t="b">
        <v>0</v>
      </c>
      <c r="N365" t="b">
        <v>0</v>
      </c>
    </row>
    <row r="366" spans="1:14" x14ac:dyDescent="0.35">
      <c r="A366">
        <v>159.32</v>
      </c>
      <c r="B366">
        <v>4</v>
      </c>
      <c r="C366">
        <v>0.4572</v>
      </c>
      <c r="D366">
        <v>13.78</v>
      </c>
      <c r="F366" s="7">
        <f t="shared" si="10"/>
        <v>345.91558399999997</v>
      </c>
      <c r="G366" s="8">
        <f t="shared" si="11"/>
        <v>305.14441599999998</v>
      </c>
      <c r="I366" t="str">
        <v>09-Sep</v>
      </c>
      <c r="L366" t="b">
        <v>0</v>
      </c>
      <c r="N366" t="b">
        <v>0</v>
      </c>
    </row>
    <row r="367" spans="1:14" x14ac:dyDescent="0.35">
      <c r="A367">
        <v>94.56</v>
      </c>
      <c r="B367">
        <v>4</v>
      </c>
      <c r="C367">
        <v>2.0099999999999996E-2</v>
      </c>
      <c r="D367">
        <v>11.19</v>
      </c>
      <c r="F367" s="7">
        <f t="shared" si="10"/>
        <v>370.63737600000002</v>
      </c>
      <c r="G367" s="8">
        <f t="shared" si="11"/>
        <v>18.792623999999996</v>
      </c>
      <c r="I367" t="str">
        <v>08-Aug</v>
      </c>
      <c r="L367" t="b">
        <v>0</v>
      </c>
      <c r="N367" t="b">
        <v>0</v>
      </c>
    </row>
    <row r="368" spans="1:14" x14ac:dyDescent="0.35">
      <c r="A368">
        <v>379.06</v>
      </c>
      <c r="B368">
        <v>4</v>
      </c>
      <c r="C368">
        <v>0.1852</v>
      </c>
      <c r="D368">
        <v>80.540000000000006</v>
      </c>
      <c r="F368" s="7">
        <f t="shared" si="10"/>
        <v>1235.432352</v>
      </c>
      <c r="G368" s="8">
        <f t="shared" si="11"/>
        <v>361.34764800000005</v>
      </c>
      <c r="I368" t="str">
        <v>01-Jan</v>
      </c>
      <c r="L368" t="b">
        <v>1</v>
      </c>
      <c r="N368" t="b">
        <v>0</v>
      </c>
    </row>
    <row r="369" spans="1:14" x14ac:dyDescent="0.35">
      <c r="A369">
        <v>183.74</v>
      </c>
      <c r="B369">
        <v>4</v>
      </c>
      <c r="C369">
        <v>8.9499999999999996E-2</v>
      </c>
      <c r="D369">
        <v>31.83</v>
      </c>
      <c r="F369" s="7">
        <f t="shared" si="10"/>
        <v>669.18108000000007</v>
      </c>
      <c r="G369" s="8">
        <f t="shared" si="11"/>
        <v>97.608919999999998</v>
      </c>
      <c r="I369" t="str">
        <v>03-Mar</v>
      </c>
      <c r="L369" t="b">
        <v>0</v>
      </c>
      <c r="N369" t="b">
        <v>0</v>
      </c>
    </row>
    <row r="370" spans="1:14" x14ac:dyDescent="0.35">
      <c r="A370">
        <v>262.82</v>
      </c>
      <c r="B370">
        <v>4</v>
      </c>
      <c r="C370">
        <v>0.34200000000000003</v>
      </c>
      <c r="D370">
        <v>89.37</v>
      </c>
      <c r="F370" s="7">
        <f t="shared" si="10"/>
        <v>691.74223999999992</v>
      </c>
      <c r="G370" s="8">
        <f t="shared" si="11"/>
        <v>448.90776</v>
      </c>
      <c r="I370" t="str">
        <v>01-Jan</v>
      </c>
      <c r="L370" t="b">
        <v>1</v>
      </c>
      <c r="N370" t="b">
        <v>0</v>
      </c>
    </row>
    <row r="371" spans="1:14" x14ac:dyDescent="0.35">
      <c r="A371">
        <v>101.11</v>
      </c>
      <c r="B371">
        <v>4</v>
      </c>
      <c r="C371">
        <v>0.12789999999999999</v>
      </c>
      <c r="D371">
        <v>85.23</v>
      </c>
      <c r="F371" s="7">
        <f t="shared" si="10"/>
        <v>352.71212400000002</v>
      </c>
      <c r="G371" s="8">
        <f t="shared" si="11"/>
        <v>136.957876</v>
      </c>
      <c r="I371" t="str">
        <v>05-May</v>
      </c>
      <c r="L371" t="b">
        <v>0</v>
      </c>
      <c r="N371" t="b">
        <v>0</v>
      </c>
    </row>
    <row r="372" spans="1:14" x14ac:dyDescent="0.35">
      <c r="A372">
        <v>240.52</v>
      </c>
      <c r="B372">
        <v>4</v>
      </c>
      <c r="C372">
        <v>0.26729999999999998</v>
      </c>
      <c r="D372">
        <v>24.88</v>
      </c>
      <c r="F372" s="7">
        <f t="shared" si="10"/>
        <v>704.91601600000001</v>
      </c>
      <c r="G372" s="8">
        <f t="shared" si="11"/>
        <v>282.04398399999997</v>
      </c>
      <c r="I372" t="str">
        <v>02-Feb</v>
      </c>
      <c r="L372" t="b">
        <v>0</v>
      </c>
      <c r="N372" t="b">
        <v>0</v>
      </c>
    </row>
    <row r="373" spans="1:14" x14ac:dyDescent="0.35">
      <c r="A373">
        <v>185.46</v>
      </c>
      <c r="B373">
        <v>4</v>
      </c>
      <c r="C373">
        <v>2.3099999999999999E-2</v>
      </c>
      <c r="D373">
        <v>91.03</v>
      </c>
      <c r="F373" s="7">
        <f t="shared" si="10"/>
        <v>724.70349599999997</v>
      </c>
      <c r="G373" s="8">
        <f t="shared" si="11"/>
        <v>108.166504</v>
      </c>
      <c r="I373" t="str">
        <v>03-Mar</v>
      </c>
      <c r="L373" t="b">
        <v>0</v>
      </c>
      <c r="N373" t="b">
        <v>0</v>
      </c>
    </row>
    <row r="374" spans="1:14" x14ac:dyDescent="0.35">
      <c r="A374">
        <v>309.64999999999998</v>
      </c>
      <c r="B374">
        <v>3</v>
      </c>
      <c r="C374">
        <v>0.2777</v>
      </c>
      <c r="D374">
        <v>58.06</v>
      </c>
      <c r="F374" s="7">
        <f t="shared" si="10"/>
        <v>670.98058499999991</v>
      </c>
      <c r="G374" s="8">
        <f t="shared" si="11"/>
        <v>316.02941499999997</v>
      </c>
      <c r="I374" t="str">
        <v>09-Sep</v>
      </c>
      <c r="L374" t="b">
        <v>0</v>
      </c>
      <c r="N374" t="b">
        <v>0</v>
      </c>
    </row>
    <row r="375" spans="1:14" x14ac:dyDescent="0.35">
      <c r="A375">
        <v>130.43</v>
      </c>
      <c r="B375">
        <v>5</v>
      </c>
      <c r="C375">
        <v>0.34179999999999999</v>
      </c>
      <c r="D375">
        <v>97.22</v>
      </c>
      <c r="F375" s="7">
        <f t="shared" si="10"/>
        <v>429.24513000000007</v>
      </c>
      <c r="G375" s="8">
        <f t="shared" si="11"/>
        <v>320.12486999999999</v>
      </c>
      <c r="I375" t="str">
        <v>01-Jan</v>
      </c>
      <c r="L375" t="b">
        <v>1</v>
      </c>
      <c r="N375" t="b">
        <v>0</v>
      </c>
    </row>
    <row r="376" spans="1:14" x14ac:dyDescent="0.35">
      <c r="A376">
        <v>184.31</v>
      </c>
      <c r="B376">
        <v>5</v>
      </c>
      <c r="C376">
        <v>0.24079999999999999</v>
      </c>
      <c r="D376">
        <v>16.95</v>
      </c>
      <c r="F376" s="7">
        <f t="shared" si="10"/>
        <v>699.64076</v>
      </c>
      <c r="G376" s="8">
        <f t="shared" si="11"/>
        <v>238.85923999999997</v>
      </c>
      <c r="I376" t="str">
        <v>10-Oct</v>
      </c>
      <c r="L376" t="b">
        <v>0</v>
      </c>
      <c r="N376" t="b">
        <v>0</v>
      </c>
    </row>
    <row r="377" spans="1:14" x14ac:dyDescent="0.35">
      <c r="A377">
        <v>210.68</v>
      </c>
      <c r="B377">
        <v>4</v>
      </c>
      <c r="C377">
        <v>0.43920000000000003</v>
      </c>
      <c r="D377">
        <v>23.21</v>
      </c>
      <c r="F377" s="7">
        <f t="shared" si="10"/>
        <v>472.597376</v>
      </c>
      <c r="G377" s="8">
        <f t="shared" si="11"/>
        <v>393.33262400000001</v>
      </c>
      <c r="I377" t="str">
        <v>05-May</v>
      </c>
      <c r="L377" t="b">
        <v>0</v>
      </c>
      <c r="N377" t="b">
        <v>0</v>
      </c>
    </row>
    <row r="378" spans="1:14" x14ac:dyDescent="0.35">
      <c r="A378">
        <v>168.41</v>
      </c>
      <c r="B378">
        <v>4</v>
      </c>
      <c r="C378">
        <v>0.15179999999999999</v>
      </c>
      <c r="D378">
        <v>28.16</v>
      </c>
      <c r="F378" s="7">
        <f t="shared" si="10"/>
        <v>571.38144799999998</v>
      </c>
      <c r="G378" s="8">
        <f t="shared" si="11"/>
        <v>130.41855200000001</v>
      </c>
      <c r="I378" t="str">
        <v>05-May</v>
      </c>
      <c r="L378" t="b">
        <v>0</v>
      </c>
      <c r="N378" t="b">
        <v>0</v>
      </c>
    </row>
    <row r="379" spans="1:14" x14ac:dyDescent="0.35">
      <c r="A379">
        <v>328.77</v>
      </c>
      <c r="B379">
        <v>5</v>
      </c>
      <c r="C379">
        <v>0.26030000000000003</v>
      </c>
      <c r="D379">
        <v>98.55</v>
      </c>
      <c r="F379" s="7">
        <f t="shared" si="10"/>
        <v>1215.955845</v>
      </c>
      <c r="G379" s="8">
        <f t="shared" si="11"/>
        <v>526.44415500000002</v>
      </c>
      <c r="I379" t="str">
        <v>12-Dec</v>
      </c>
      <c r="L379" t="b">
        <v>0</v>
      </c>
      <c r="N379" t="b">
        <v>0</v>
      </c>
    </row>
    <row r="380" spans="1:14" x14ac:dyDescent="0.35">
      <c r="A380">
        <v>488.06</v>
      </c>
      <c r="B380">
        <v>3</v>
      </c>
      <c r="C380">
        <v>0.22649999999999998</v>
      </c>
      <c r="D380">
        <v>83.31</v>
      </c>
      <c r="F380" s="7">
        <f t="shared" si="10"/>
        <v>1132.5432300000002</v>
      </c>
      <c r="G380" s="8">
        <f t="shared" si="11"/>
        <v>414.94676999999996</v>
      </c>
      <c r="I380" t="str">
        <v>04-Apr</v>
      </c>
      <c r="L380" t="b">
        <v>0</v>
      </c>
      <c r="N380" t="b">
        <v>0</v>
      </c>
    </row>
    <row r="381" spans="1:14" x14ac:dyDescent="0.35">
      <c r="A381">
        <v>158.61000000000001</v>
      </c>
      <c r="B381">
        <v>3</v>
      </c>
      <c r="C381">
        <v>8.199999999999999E-2</v>
      </c>
      <c r="D381">
        <v>60.52</v>
      </c>
      <c r="F381" s="7">
        <f t="shared" si="10"/>
        <v>436.81194000000005</v>
      </c>
      <c r="G381" s="8">
        <f t="shared" si="11"/>
        <v>99.538060000000002</v>
      </c>
      <c r="I381" t="str">
        <v>04-Apr</v>
      </c>
      <c r="L381" t="b">
        <v>0</v>
      </c>
      <c r="N381" t="b">
        <v>0</v>
      </c>
    </row>
    <row r="382" spans="1:14" x14ac:dyDescent="0.35">
      <c r="A382">
        <v>408.03</v>
      </c>
      <c r="B382">
        <v>5</v>
      </c>
      <c r="C382">
        <v>0.12720000000000001</v>
      </c>
      <c r="D382">
        <v>24.78</v>
      </c>
      <c r="F382" s="7">
        <f t="shared" si="10"/>
        <v>1780.64292</v>
      </c>
      <c r="G382" s="8">
        <f t="shared" si="11"/>
        <v>284.28707999999995</v>
      </c>
      <c r="I382" t="str">
        <v>11-Nov</v>
      </c>
      <c r="L382" t="b">
        <v>0</v>
      </c>
      <c r="N382" t="b">
        <v>0</v>
      </c>
    </row>
    <row r="383" spans="1:14" x14ac:dyDescent="0.35">
      <c r="A383">
        <v>337.25</v>
      </c>
      <c r="B383">
        <v>4</v>
      </c>
      <c r="C383">
        <v>0.1033</v>
      </c>
      <c r="D383">
        <v>57.46</v>
      </c>
      <c r="F383" s="7">
        <f t="shared" si="10"/>
        <v>1209.6483000000001</v>
      </c>
      <c r="G383" s="8">
        <f t="shared" si="11"/>
        <v>196.8117</v>
      </c>
      <c r="I383" t="str">
        <v>11-Nov</v>
      </c>
      <c r="L383" t="b">
        <v>0</v>
      </c>
      <c r="N383" t="b">
        <v>0</v>
      </c>
    </row>
    <row r="384" spans="1:14" x14ac:dyDescent="0.35">
      <c r="A384">
        <v>162.35</v>
      </c>
      <c r="B384">
        <v>5</v>
      </c>
      <c r="C384">
        <v>0.12920000000000001</v>
      </c>
      <c r="D384">
        <v>20.21</v>
      </c>
      <c r="F384" s="7">
        <f t="shared" si="10"/>
        <v>706.87189999999998</v>
      </c>
      <c r="G384" s="8">
        <f t="shared" si="11"/>
        <v>125.0881</v>
      </c>
      <c r="I384" t="str">
        <v>10-Oct</v>
      </c>
      <c r="L384" t="b">
        <v>0</v>
      </c>
      <c r="N384" t="b">
        <v>0</v>
      </c>
    </row>
    <row r="385" spans="1:14" x14ac:dyDescent="0.35">
      <c r="A385">
        <v>453.72</v>
      </c>
      <c r="B385">
        <v>5</v>
      </c>
      <c r="C385">
        <v>0.21149999999999999</v>
      </c>
      <c r="D385">
        <v>29.95</v>
      </c>
      <c r="F385" s="7">
        <f t="shared" si="10"/>
        <v>1788.7911000000001</v>
      </c>
      <c r="G385" s="8">
        <f t="shared" si="11"/>
        <v>509.75890000000004</v>
      </c>
      <c r="I385" t="str">
        <v>06-Jun</v>
      </c>
      <c r="L385" t="b">
        <v>0</v>
      </c>
      <c r="N385" t="b">
        <v>0</v>
      </c>
    </row>
    <row r="386" spans="1:14" x14ac:dyDescent="0.35">
      <c r="A386">
        <v>249.29</v>
      </c>
      <c r="B386">
        <v>5</v>
      </c>
      <c r="C386">
        <v>0.2767</v>
      </c>
      <c r="D386">
        <v>68.77</v>
      </c>
      <c r="F386" s="7">
        <f t="shared" si="10"/>
        <v>901.55728500000009</v>
      </c>
      <c r="G386" s="8">
        <f t="shared" si="11"/>
        <v>413.66271499999999</v>
      </c>
      <c r="I386" t="str">
        <v>03-Mar</v>
      </c>
      <c r="L386" t="b">
        <v>0</v>
      </c>
      <c r="N386" t="b">
        <v>0</v>
      </c>
    </row>
    <row r="387" spans="1:14" x14ac:dyDescent="0.35">
      <c r="A387">
        <v>207.73</v>
      </c>
      <c r="B387">
        <v>4</v>
      </c>
      <c r="C387">
        <v>0.19579999999999997</v>
      </c>
      <c r="D387">
        <v>22.29</v>
      </c>
      <c r="F387" s="7">
        <f t="shared" ref="F387:F450" si="12">($A387*$B387)*(1-$C387)</f>
        <v>668.225864</v>
      </c>
      <c r="G387" s="8">
        <f t="shared" ref="G387:G450" si="13">D387+(A387*B387*C387)</f>
        <v>184.98413599999995</v>
      </c>
      <c r="I387" t="str">
        <v>03-Mar</v>
      </c>
      <c r="L387" t="b">
        <v>0</v>
      </c>
      <c r="N387" t="b">
        <v>0</v>
      </c>
    </row>
    <row r="388" spans="1:14" x14ac:dyDescent="0.35">
      <c r="A388">
        <v>87.43</v>
      </c>
      <c r="B388">
        <v>3</v>
      </c>
      <c r="C388">
        <v>0.25790000000000002</v>
      </c>
      <c r="D388">
        <v>44.2</v>
      </c>
      <c r="F388" s="7">
        <f t="shared" si="12"/>
        <v>194.645409</v>
      </c>
      <c r="G388" s="8">
        <f t="shared" si="13"/>
        <v>111.84459100000001</v>
      </c>
      <c r="I388" t="str">
        <v>06-Jun</v>
      </c>
      <c r="L388" t="b">
        <v>0</v>
      </c>
      <c r="N388" t="b">
        <v>0</v>
      </c>
    </row>
    <row r="389" spans="1:14" x14ac:dyDescent="0.35">
      <c r="A389">
        <v>477.48</v>
      </c>
      <c r="B389">
        <v>5</v>
      </c>
      <c r="C389">
        <v>9.1499999999999998E-2</v>
      </c>
      <c r="D389">
        <v>70.239999999999995</v>
      </c>
      <c r="F389" s="7">
        <f t="shared" si="12"/>
        <v>2168.9529000000002</v>
      </c>
      <c r="G389" s="8">
        <f t="shared" si="13"/>
        <v>288.68709999999999</v>
      </c>
      <c r="I389" t="str">
        <v>09-Sep</v>
      </c>
      <c r="L389" t="b">
        <v>0</v>
      </c>
      <c r="N389" t="b">
        <v>0</v>
      </c>
    </row>
    <row r="390" spans="1:14" x14ac:dyDescent="0.35">
      <c r="A390">
        <v>249.34</v>
      </c>
      <c r="B390">
        <v>4</v>
      </c>
      <c r="C390">
        <v>0.19570000000000001</v>
      </c>
      <c r="D390">
        <v>13.28</v>
      </c>
      <c r="F390" s="7">
        <f t="shared" si="12"/>
        <v>802.176648</v>
      </c>
      <c r="G390" s="8">
        <f t="shared" si="13"/>
        <v>208.46335200000001</v>
      </c>
      <c r="I390" t="str">
        <v>09-Sep</v>
      </c>
      <c r="L390" t="b">
        <v>0</v>
      </c>
      <c r="N390" t="b">
        <v>0</v>
      </c>
    </row>
    <row r="391" spans="1:14" x14ac:dyDescent="0.35">
      <c r="A391">
        <v>295.38</v>
      </c>
      <c r="B391">
        <v>5</v>
      </c>
      <c r="C391">
        <v>0.38640000000000002</v>
      </c>
      <c r="D391">
        <v>30.98</v>
      </c>
      <c r="F391" s="7">
        <f t="shared" si="12"/>
        <v>906.22583999999995</v>
      </c>
      <c r="G391" s="8">
        <f t="shared" si="13"/>
        <v>601.65416000000005</v>
      </c>
      <c r="I391" t="str">
        <v>06-Jun</v>
      </c>
      <c r="L391" t="b">
        <v>0</v>
      </c>
      <c r="N391" t="b">
        <v>0</v>
      </c>
    </row>
    <row r="392" spans="1:14" x14ac:dyDescent="0.35">
      <c r="A392">
        <v>131.24</v>
      </c>
      <c r="B392">
        <v>4</v>
      </c>
      <c r="C392">
        <v>0.39390000000000003</v>
      </c>
      <c r="D392">
        <v>10.79</v>
      </c>
      <c r="F392" s="7">
        <f t="shared" si="12"/>
        <v>318.17825600000003</v>
      </c>
      <c r="G392" s="8">
        <f t="shared" si="13"/>
        <v>217.57174400000002</v>
      </c>
      <c r="I392" t="str">
        <v>06-Jun</v>
      </c>
      <c r="L392" t="b">
        <v>0</v>
      </c>
      <c r="N392" t="b">
        <v>0</v>
      </c>
    </row>
    <row r="393" spans="1:14" x14ac:dyDescent="0.35">
      <c r="A393">
        <v>402.93</v>
      </c>
      <c r="B393">
        <v>4</v>
      </c>
      <c r="C393">
        <v>0.1784</v>
      </c>
      <c r="D393">
        <v>36.130000000000003</v>
      </c>
      <c r="F393" s="7">
        <f t="shared" si="12"/>
        <v>1324.1891519999999</v>
      </c>
      <c r="G393" s="8">
        <f t="shared" si="13"/>
        <v>323.66084799999999</v>
      </c>
      <c r="I393" t="str">
        <v>02-Feb</v>
      </c>
      <c r="L393" t="b">
        <v>0</v>
      </c>
      <c r="N393" t="b">
        <v>0</v>
      </c>
    </row>
    <row r="394" spans="1:14" x14ac:dyDescent="0.35">
      <c r="A394">
        <v>198.66</v>
      </c>
      <c r="B394">
        <v>5</v>
      </c>
      <c r="C394">
        <v>0.32020000000000004</v>
      </c>
      <c r="D394">
        <v>46.55</v>
      </c>
      <c r="F394" s="7">
        <f t="shared" si="12"/>
        <v>675.24533999999994</v>
      </c>
      <c r="G394" s="8">
        <f t="shared" si="13"/>
        <v>364.60466000000002</v>
      </c>
      <c r="I394" t="str">
        <v>02-Feb</v>
      </c>
      <c r="L394" t="b">
        <v>0</v>
      </c>
      <c r="N394" t="b">
        <v>0</v>
      </c>
    </row>
    <row r="395" spans="1:14" x14ac:dyDescent="0.35">
      <c r="A395">
        <v>123.69</v>
      </c>
      <c r="B395">
        <v>5</v>
      </c>
      <c r="C395">
        <v>0.19079999999999997</v>
      </c>
      <c r="D395">
        <v>87.83</v>
      </c>
      <c r="F395" s="7">
        <f t="shared" si="12"/>
        <v>500.44974000000008</v>
      </c>
      <c r="G395" s="8">
        <f t="shared" si="13"/>
        <v>205.83025999999998</v>
      </c>
      <c r="I395" t="str">
        <v>12-Dec</v>
      </c>
      <c r="L395" t="b">
        <v>0</v>
      </c>
      <c r="N395" t="b">
        <v>0</v>
      </c>
    </row>
    <row r="396" spans="1:14" x14ac:dyDescent="0.35">
      <c r="A396">
        <v>226.66</v>
      </c>
      <c r="B396">
        <v>3</v>
      </c>
      <c r="C396">
        <v>1.2699999999999999E-2</v>
      </c>
      <c r="D396">
        <v>28.19</v>
      </c>
      <c r="F396" s="7">
        <f t="shared" si="12"/>
        <v>671.34425399999998</v>
      </c>
      <c r="G396" s="8">
        <f t="shared" si="13"/>
        <v>36.825746000000002</v>
      </c>
      <c r="I396" t="str">
        <v>02-Feb</v>
      </c>
      <c r="L396" t="b">
        <v>0</v>
      </c>
      <c r="N396" t="b">
        <v>0</v>
      </c>
    </row>
    <row r="397" spans="1:14" x14ac:dyDescent="0.35">
      <c r="A397">
        <v>488.99</v>
      </c>
      <c r="B397">
        <v>3</v>
      </c>
      <c r="C397">
        <v>0.3674</v>
      </c>
      <c r="D397">
        <v>77.02</v>
      </c>
      <c r="F397" s="7">
        <f t="shared" si="12"/>
        <v>928.00522200000012</v>
      </c>
      <c r="G397" s="8">
        <f t="shared" si="13"/>
        <v>615.98477800000001</v>
      </c>
      <c r="I397" t="str">
        <v>03-Mar</v>
      </c>
      <c r="L397" t="b">
        <v>0</v>
      </c>
      <c r="N397" t="b">
        <v>0</v>
      </c>
    </row>
    <row r="398" spans="1:14" x14ac:dyDescent="0.35">
      <c r="A398">
        <v>268.93</v>
      </c>
      <c r="B398">
        <v>3</v>
      </c>
      <c r="C398">
        <v>0.1757</v>
      </c>
      <c r="D398">
        <v>86.01</v>
      </c>
      <c r="F398" s="7">
        <f t="shared" si="12"/>
        <v>665.03699700000004</v>
      </c>
      <c r="G398" s="8">
        <f t="shared" si="13"/>
        <v>227.76300299999997</v>
      </c>
      <c r="I398" t="str">
        <v>12-Dec</v>
      </c>
      <c r="L398" t="b">
        <v>0</v>
      </c>
      <c r="N398" t="b">
        <v>0</v>
      </c>
    </row>
    <row r="399" spans="1:14" x14ac:dyDescent="0.35">
      <c r="A399">
        <v>417.48</v>
      </c>
      <c r="B399">
        <v>3</v>
      </c>
      <c r="C399">
        <v>0.1134</v>
      </c>
      <c r="D399">
        <v>71.599999999999994</v>
      </c>
      <c r="F399" s="7">
        <f t="shared" si="12"/>
        <v>1110.4133040000002</v>
      </c>
      <c r="G399" s="8">
        <f t="shared" si="13"/>
        <v>213.62669600000001</v>
      </c>
      <c r="I399" t="str">
        <v>08-Aug</v>
      </c>
      <c r="L399" t="b">
        <v>0</v>
      </c>
      <c r="N399" t="b">
        <v>0</v>
      </c>
    </row>
    <row r="400" spans="1:14" x14ac:dyDescent="0.35">
      <c r="A400">
        <v>65.83</v>
      </c>
      <c r="B400">
        <v>4</v>
      </c>
      <c r="C400">
        <v>3.2500000000000001E-2</v>
      </c>
      <c r="D400">
        <v>93.38</v>
      </c>
      <c r="F400" s="7">
        <f t="shared" si="12"/>
        <v>254.7621</v>
      </c>
      <c r="G400" s="8">
        <f t="shared" si="13"/>
        <v>101.9379</v>
      </c>
      <c r="I400" t="str">
        <v>09-Sep</v>
      </c>
      <c r="L400" t="b">
        <v>0</v>
      </c>
      <c r="N400" t="b">
        <v>0</v>
      </c>
    </row>
    <row r="401" spans="1:14" x14ac:dyDescent="0.35">
      <c r="A401">
        <v>390.54</v>
      </c>
      <c r="B401">
        <v>5</v>
      </c>
      <c r="C401">
        <v>0.19820000000000002</v>
      </c>
      <c r="D401">
        <v>96.68</v>
      </c>
      <c r="F401" s="7">
        <f t="shared" si="12"/>
        <v>1565.6748599999999</v>
      </c>
      <c r="G401" s="8">
        <f t="shared" si="13"/>
        <v>483.70514000000003</v>
      </c>
      <c r="I401" t="str">
        <v>08-Aug</v>
      </c>
      <c r="L401" t="b">
        <v>0</v>
      </c>
      <c r="N401" t="b">
        <v>0</v>
      </c>
    </row>
    <row r="402" spans="1:14" x14ac:dyDescent="0.35">
      <c r="A402">
        <v>379.19</v>
      </c>
      <c r="B402">
        <v>3</v>
      </c>
      <c r="C402">
        <v>5.2300000000000006E-2</v>
      </c>
      <c r="D402">
        <v>32.520000000000003</v>
      </c>
      <c r="F402" s="7">
        <f t="shared" si="12"/>
        <v>1078.0750889999999</v>
      </c>
      <c r="G402" s="8">
        <f t="shared" si="13"/>
        <v>92.014911000000012</v>
      </c>
      <c r="I402" t="str">
        <v>04-Apr</v>
      </c>
      <c r="L402" t="b">
        <v>0</v>
      </c>
      <c r="N402" t="b">
        <v>0</v>
      </c>
    </row>
    <row r="403" spans="1:14" x14ac:dyDescent="0.35">
      <c r="A403">
        <v>493.74</v>
      </c>
      <c r="B403">
        <v>5</v>
      </c>
      <c r="C403">
        <v>0.30630000000000002</v>
      </c>
      <c r="D403">
        <v>16.239999999999998</v>
      </c>
      <c r="F403" s="7">
        <f t="shared" si="12"/>
        <v>1712.5371899999998</v>
      </c>
      <c r="G403" s="8">
        <f t="shared" si="13"/>
        <v>772.40281000000004</v>
      </c>
      <c r="I403" t="str">
        <v>06-Jun</v>
      </c>
      <c r="L403" t="b">
        <v>0</v>
      </c>
      <c r="N403" t="b">
        <v>0</v>
      </c>
    </row>
    <row r="404" spans="1:14" x14ac:dyDescent="0.35">
      <c r="A404">
        <v>342.01</v>
      </c>
      <c r="B404">
        <v>4</v>
      </c>
      <c r="C404">
        <v>0.24489999999999998</v>
      </c>
      <c r="D404">
        <v>75</v>
      </c>
      <c r="F404" s="7">
        <f t="shared" si="12"/>
        <v>1033.0070040000001</v>
      </c>
      <c r="G404" s="8">
        <f t="shared" si="13"/>
        <v>410.03299599999997</v>
      </c>
      <c r="I404" t="str">
        <v>07-Jul</v>
      </c>
      <c r="L404" t="b">
        <v>0</v>
      </c>
      <c r="N404" t="b">
        <v>0</v>
      </c>
    </row>
    <row r="405" spans="1:14" x14ac:dyDescent="0.35">
      <c r="A405">
        <v>98.61</v>
      </c>
      <c r="B405">
        <v>3</v>
      </c>
      <c r="C405">
        <v>0.13320000000000001</v>
      </c>
      <c r="D405">
        <v>24.91</v>
      </c>
      <c r="F405" s="7">
        <f t="shared" si="12"/>
        <v>256.42544399999997</v>
      </c>
      <c r="G405" s="8">
        <f t="shared" si="13"/>
        <v>64.314555999999996</v>
      </c>
      <c r="I405" t="str">
        <v>02-Feb</v>
      </c>
      <c r="L405" t="b">
        <v>0</v>
      </c>
      <c r="N405" t="b">
        <v>0</v>
      </c>
    </row>
    <row r="406" spans="1:14" x14ac:dyDescent="0.35">
      <c r="A406">
        <v>239.25</v>
      </c>
      <c r="B406">
        <v>4</v>
      </c>
      <c r="C406">
        <v>0.16370000000000001</v>
      </c>
      <c r="D406">
        <v>74.61</v>
      </c>
      <c r="F406" s="7">
        <f t="shared" si="12"/>
        <v>800.33910000000003</v>
      </c>
      <c r="G406" s="8">
        <f t="shared" si="13"/>
        <v>231.27089999999998</v>
      </c>
      <c r="I406" t="str">
        <v>06-Jun</v>
      </c>
      <c r="L406" t="b">
        <v>0</v>
      </c>
      <c r="N406" t="b">
        <v>0</v>
      </c>
    </row>
    <row r="407" spans="1:14" x14ac:dyDescent="0.35">
      <c r="A407">
        <v>498.45</v>
      </c>
      <c r="B407">
        <v>3</v>
      </c>
      <c r="C407">
        <v>0.34380000000000005</v>
      </c>
      <c r="D407">
        <v>34.6</v>
      </c>
      <c r="F407" s="7">
        <f t="shared" si="12"/>
        <v>981.24866999999983</v>
      </c>
      <c r="G407" s="8">
        <f t="shared" si="13"/>
        <v>548.7013300000001</v>
      </c>
      <c r="I407" t="str">
        <v>05-May</v>
      </c>
      <c r="L407" t="b">
        <v>0</v>
      </c>
      <c r="N407" t="b">
        <v>0</v>
      </c>
    </row>
    <row r="408" spans="1:14" x14ac:dyDescent="0.35">
      <c r="A408">
        <v>443.12</v>
      </c>
      <c r="B408">
        <v>3</v>
      </c>
      <c r="C408">
        <v>0.38840000000000002</v>
      </c>
      <c r="D408">
        <v>27.59</v>
      </c>
      <c r="F408" s="7">
        <f t="shared" si="12"/>
        <v>813.03657599999997</v>
      </c>
      <c r="G408" s="8">
        <f t="shared" si="13"/>
        <v>543.91342400000008</v>
      </c>
      <c r="I408" t="str">
        <v>05-May</v>
      </c>
      <c r="L408" t="b">
        <v>0</v>
      </c>
      <c r="N408" t="b">
        <v>0</v>
      </c>
    </row>
    <row r="409" spans="1:14" x14ac:dyDescent="0.35">
      <c r="A409">
        <v>273.01</v>
      </c>
      <c r="B409">
        <v>3</v>
      </c>
      <c r="C409">
        <v>0.13289999999999999</v>
      </c>
      <c r="D409">
        <v>92.82</v>
      </c>
      <c r="F409" s="7">
        <f t="shared" si="12"/>
        <v>710.18091299999992</v>
      </c>
      <c r="G409" s="8">
        <f t="shared" si="13"/>
        <v>201.66908699999999</v>
      </c>
      <c r="I409" t="str">
        <v>09-Sep</v>
      </c>
      <c r="L409" t="b">
        <v>0</v>
      </c>
      <c r="N409" t="b">
        <v>0</v>
      </c>
    </row>
    <row r="410" spans="1:14" x14ac:dyDescent="0.35">
      <c r="A410">
        <v>90.53</v>
      </c>
      <c r="B410">
        <v>3</v>
      </c>
      <c r="C410">
        <v>1.1399999999999999E-2</v>
      </c>
      <c r="D410">
        <v>45.5</v>
      </c>
      <c r="F410" s="7">
        <f t="shared" si="12"/>
        <v>268.49387400000006</v>
      </c>
      <c r="G410" s="8">
        <f t="shared" si="13"/>
        <v>48.596125999999998</v>
      </c>
      <c r="I410" t="str">
        <v>06-Jun</v>
      </c>
      <c r="L410" t="b">
        <v>0</v>
      </c>
      <c r="N410" t="b">
        <v>0</v>
      </c>
    </row>
    <row r="411" spans="1:14" x14ac:dyDescent="0.35">
      <c r="A411">
        <v>206.73</v>
      </c>
      <c r="B411">
        <v>5</v>
      </c>
      <c r="C411">
        <v>0.30359999999999998</v>
      </c>
      <c r="D411">
        <v>25.72</v>
      </c>
      <c r="F411" s="7">
        <f t="shared" si="12"/>
        <v>719.83385999999996</v>
      </c>
      <c r="G411" s="8">
        <f t="shared" si="13"/>
        <v>339.53613999999993</v>
      </c>
      <c r="I411" t="str">
        <v>05-May</v>
      </c>
      <c r="L411" t="b">
        <v>0</v>
      </c>
      <c r="N411" t="b">
        <v>0</v>
      </c>
    </row>
    <row r="412" spans="1:14" x14ac:dyDescent="0.35">
      <c r="A412">
        <v>316.75</v>
      </c>
      <c r="B412">
        <v>5</v>
      </c>
      <c r="C412">
        <v>0.43689999999999996</v>
      </c>
      <c r="D412">
        <v>25.14</v>
      </c>
      <c r="F412" s="7">
        <f t="shared" si="12"/>
        <v>891.8096250000001</v>
      </c>
      <c r="G412" s="8">
        <f t="shared" si="13"/>
        <v>717.08037499999989</v>
      </c>
      <c r="I412" t="str">
        <v>10-Oct</v>
      </c>
      <c r="L412" t="b">
        <v>0</v>
      </c>
      <c r="N412" t="b">
        <v>0</v>
      </c>
    </row>
    <row r="413" spans="1:14" x14ac:dyDescent="0.35">
      <c r="A413">
        <v>250.42</v>
      </c>
      <c r="B413">
        <v>5</v>
      </c>
      <c r="C413">
        <v>0.42609999999999998</v>
      </c>
      <c r="D413">
        <v>35.840000000000003</v>
      </c>
      <c r="F413" s="7">
        <f t="shared" si="12"/>
        <v>718.58019000000002</v>
      </c>
      <c r="G413" s="8">
        <f t="shared" si="13"/>
        <v>569.35980999999992</v>
      </c>
      <c r="I413" t="str">
        <v>12-Dec</v>
      </c>
      <c r="L413" t="b">
        <v>0</v>
      </c>
      <c r="N413" t="b">
        <v>0</v>
      </c>
    </row>
    <row r="414" spans="1:14" x14ac:dyDescent="0.35">
      <c r="A414">
        <v>183.96</v>
      </c>
      <c r="B414">
        <v>4</v>
      </c>
      <c r="C414">
        <v>0.33850000000000002</v>
      </c>
      <c r="D414">
        <v>25.84</v>
      </c>
      <c r="F414" s="7">
        <f t="shared" si="12"/>
        <v>486.75816000000003</v>
      </c>
      <c r="G414" s="8">
        <f t="shared" si="13"/>
        <v>274.92184000000003</v>
      </c>
      <c r="I414" t="str">
        <v>08-Aug</v>
      </c>
      <c r="L414" t="b">
        <v>0</v>
      </c>
      <c r="N414" t="b">
        <v>0</v>
      </c>
    </row>
    <row r="415" spans="1:14" x14ac:dyDescent="0.35">
      <c r="A415">
        <v>492.57</v>
      </c>
      <c r="B415">
        <v>3</v>
      </c>
      <c r="C415">
        <v>6.5199999999999994E-2</v>
      </c>
      <c r="D415">
        <v>17.8</v>
      </c>
      <c r="F415" s="7">
        <f t="shared" si="12"/>
        <v>1381.363308</v>
      </c>
      <c r="G415" s="8">
        <f t="shared" si="13"/>
        <v>114.14669199999999</v>
      </c>
      <c r="I415" t="str">
        <v>07-Jul</v>
      </c>
      <c r="L415" t="b">
        <v>0</v>
      </c>
      <c r="N415" t="b">
        <v>0</v>
      </c>
    </row>
    <row r="416" spans="1:14" x14ac:dyDescent="0.35">
      <c r="A416">
        <v>174.01</v>
      </c>
      <c r="B416">
        <v>5</v>
      </c>
      <c r="C416">
        <v>0.2069</v>
      </c>
      <c r="D416">
        <v>41.23</v>
      </c>
      <c r="F416" s="7">
        <f t="shared" si="12"/>
        <v>690.036655</v>
      </c>
      <c r="G416" s="8">
        <f t="shared" si="13"/>
        <v>221.24334499999998</v>
      </c>
      <c r="I416" t="str">
        <v>10-Oct</v>
      </c>
      <c r="L416" t="b">
        <v>0</v>
      </c>
      <c r="N416" t="b">
        <v>0</v>
      </c>
    </row>
    <row r="417" spans="1:14" x14ac:dyDescent="0.35">
      <c r="A417">
        <v>415.98</v>
      </c>
      <c r="B417">
        <v>5</v>
      </c>
      <c r="C417">
        <v>0.4819</v>
      </c>
      <c r="D417">
        <v>37.65</v>
      </c>
      <c r="F417" s="7">
        <f t="shared" si="12"/>
        <v>1077.59619</v>
      </c>
      <c r="G417" s="8">
        <f t="shared" si="13"/>
        <v>1039.95381</v>
      </c>
      <c r="I417" t="str">
        <v>12-Dec</v>
      </c>
      <c r="L417" t="b">
        <v>0</v>
      </c>
      <c r="N417" t="b">
        <v>0</v>
      </c>
    </row>
    <row r="418" spans="1:14" x14ac:dyDescent="0.35">
      <c r="A418">
        <v>225.26</v>
      </c>
      <c r="B418">
        <v>4</v>
      </c>
      <c r="C418">
        <v>0.44880000000000003</v>
      </c>
      <c r="D418">
        <v>25.91</v>
      </c>
      <c r="F418" s="7">
        <f t="shared" si="12"/>
        <v>496.65324799999991</v>
      </c>
      <c r="G418" s="8">
        <f t="shared" si="13"/>
        <v>430.29675200000003</v>
      </c>
      <c r="I418" t="str">
        <v>10-Oct</v>
      </c>
      <c r="L418" t="b">
        <v>0</v>
      </c>
      <c r="N418" t="b">
        <v>0</v>
      </c>
    </row>
    <row r="419" spans="1:14" x14ac:dyDescent="0.35">
      <c r="A419">
        <v>266.89</v>
      </c>
      <c r="B419">
        <v>4</v>
      </c>
      <c r="C419">
        <v>0.1414</v>
      </c>
      <c r="D419">
        <v>18.649999999999999</v>
      </c>
      <c r="F419" s="7">
        <f t="shared" si="12"/>
        <v>916.60701599999993</v>
      </c>
      <c r="G419" s="8">
        <f t="shared" si="13"/>
        <v>169.60298399999999</v>
      </c>
      <c r="I419" t="str">
        <v>05-May</v>
      </c>
      <c r="L419" t="b">
        <v>0</v>
      </c>
      <c r="N419" t="b">
        <v>0</v>
      </c>
    </row>
    <row r="420" spans="1:14" x14ac:dyDescent="0.35">
      <c r="A420">
        <v>478.3</v>
      </c>
      <c r="B420">
        <v>4</v>
      </c>
      <c r="C420">
        <v>0.182</v>
      </c>
      <c r="D420">
        <v>81.36</v>
      </c>
      <c r="F420" s="7">
        <f t="shared" si="12"/>
        <v>1564.9976000000001</v>
      </c>
      <c r="G420" s="8">
        <f t="shared" si="13"/>
        <v>429.56240000000003</v>
      </c>
      <c r="I420" t="str">
        <v>10-Oct</v>
      </c>
      <c r="L420" t="b">
        <v>0</v>
      </c>
      <c r="N420" t="b">
        <v>0</v>
      </c>
    </row>
    <row r="421" spans="1:14" x14ac:dyDescent="0.35">
      <c r="A421">
        <v>245.42</v>
      </c>
      <c r="B421">
        <v>5</v>
      </c>
      <c r="C421">
        <v>0.1923</v>
      </c>
      <c r="D421">
        <v>99.12</v>
      </c>
      <c r="F421" s="7">
        <f t="shared" si="12"/>
        <v>991.12866999999994</v>
      </c>
      <c r="G421" s="8">
        <f t="shared" si="13"/>
        <v>335.09132999999997</v>
      </c>
      <c r="I421" t="str">
        <v>03-Mar</v>
      </c>
      <c r="L421" t="b">
        <v>0</v>
      </c>
      <c r="N421" t="b">
        <v>0</v>
      </c>
    </row>
    <row r="422" spans="1:14" x14ac:dyDescent="0.35">
      <c r="A422">
        <v>290.91000000000003</v>
      </c>
      <c r="B422">
        <v>3</v>
      </c>
      <c r="C422">
        <v>8.4499999999999992E-2</v>
      </c>
      <c r="D422">
        <v>45.23</v>
      </c>
      <c r="F422" s="7">
        <f t="shared" si="12"/>
        <v>798.98431500000004</v>
      </c>
      <c r="G422" s="8">
        <f t="shared" si="13"/>
        <v>118.975685</v>
      </c>
      <c r="I422" t="str">
        <v>04-Apr</v>
      </c>
      <c r="L422" t="b">
        <v>0</v>
      </c>
      <c r="N422" t="b">
        <v>0</v>
      </c>
    </row>
    <row r="423" spans="1:14" x14ac:dyDescent="0.35">
      <c r="A423">
        <v>308.07</v>
      </c>
      <c r="B423">
        <v>3</v>
      </c>
      <c r="C423">
        <v>4.24E-2</v>
      </c>
      <c r="D423">
        <v>94.75</v>
      </c>
      <c r="F423" s="7">
        <f t="shared" si="12"/>
        <v>885.02349600000002</v>
      </c>
      <c r="G423" s="8">
        <f t="shared" si="13"/>
        <v>133.93650400000001</v>
      </c>
      <c r="I423" t="str">
        <v>01-Jan</v>
      </c>
      <c r="L423" t="b">
        <v>1</v>
      </c>
      <c r="N423" t="b">
        <v>0</v>
      </c>
    </row>
    <row r="424" spans="1:14" x14ac:dyDescent="0.35">
      <c r="A424">
        <v>377.29</v>
      </c>
      <c r="B424">
        <v>5</v>
      </c>
      <c r="C424">
        <v>0.46630000000000005</v>
      </c>
      <c r="D424">
        <v>49.58</v>
      </c>
      <c r="F424" s="7">
        <f t="shared" si="12"/>
        <v>1006.798365</v>
      </c>
      <c r="G424" s="8">
        <f t="shared" si="13"/>
        <v>929.2316350000001</v>
      </c>
      <c r="I424" t="str">
        <v>01-Jan</v>
      </c>
      <c r="L424" t="b">
        <v>1</v>
      </c>
      <c r="N424" t="b">
        <v>0</v>
      </c>
    </row>
    <row r="425" spans="1:14" x14ac:dyDescent="0.35">
      <c r="A425">
        <v>460.76</v>
      </c>
      <c r="B425">
        <v>5</v>
      </c>
      <c r="C425">
        <v>0.19239999999999999</v>
      </c>
      <c r="D425">
        <v>79.94</v>
      </c>
      <c r="F425" s="7">
        <f t="shared" si="12"/>
        <v>1860.5488800000001</v>
      </c>
      <c r="G425" s="8">
        <f t="shared" si="13"/>
        <v>523.19111999999996</v>
      </c>
      <c r="I425" t="str">
        <v>08-Aug</v>
      </c>
      <c r="L425" t="b">
        <v>0</v>
      </c>
      <c r="N425" t="b">
        <v>0</v>
      </c>
    </row>
    <row r="426" spans="1:14" x14ac:dyDescent="0.35">
      <c r="A426">
        <v>159.25</v>
      </c>
      <c r="B426">
        <v>4</v>
      </c>
      <c r="C426">
        <v>0.44799999999999995</v>
      </c>
      <c r="D426">
        <v>35</v>
      </c>
      <c r="F426" s="7">
        <f t="shared" si="12"/>
        <v>351.62400000000002</v>
      </c>
      <c r="G426" s="8">
        <f t="shared" si="13"/>
        <v>320.37599999999998</v>
      </c>
      <c r="I426" t="str">
        <v>03-Mar</v>
      </c>
      <c r="L426" t="b">
        <v>0</v>
      </c>
      <c r="N426" t="b">
        <v>0</v>
      </c>
    </row>
    <row r="427" spans="1:14" x14ac:dyDescent="0.35">
      <c r="A427">
        <v>232.78</v>
      </c>
      <c r="B427">
        <v>3</v>
      </c>
      <c r="C427">
        <v>0.39399999999999996</v>
      </c>
      <c r="D427">
        <v>98.82</v>
      </c>
      <c r="F427" s="7">
        <f t="shared" si="12"/>
        <v>423.19404000000009</v>
      </c>
      <c r="G427" s="8">
        <f t="shared" si="13"/>
        <v>373.96596</v>
      </c>
      <c r="I427" t="str">
        <v>02-Feb</v>
      </c>
      <c r="L427" t="b">
        <v>0</v>
      </c>
      <c r="N427" t="b">
        <v>0</v>
      </c>
    </row>
    <row r="428" spans="1:14" x14ac:dyDescent="0.35">
      <c r="A428">
        <v>376.06</v>
      </c>
      <c r="B428">
        <v>5</v>
      </c>
      <c r="C428">
        <v>0.29930000000000001</v>
      </c>
      <c r="D428">
        <v>56.29</v>
      </c>
      <c r="F428" s="7">
        <f t="shared" si="12"/>
        <v>1317.52621</v>
      </c>
      <c r="G428" s="8">
        <f t="shared" si="13"/>
        <v>619.06378999999993</v>
      </c>
      <c r="I428" t="str">
        <v>07-Jul</v>
      </c>
      <c r="L428" t="b">
        <v>0</v>
      </c>
      <c r="N428" t="b">
        <v>0</v>
      </c>
    </row>
    <row r="429" spans="1:14" x14ac:dyDescent="0.35">
      <c r="A429">
        <v>489.12</v>
      </c>
      <c r="B429">
        <v>4</v>
      </c>
      <c r="C429">
        <v>0.2409</v>
      </c>
      <c r="D429">
        <v>41.24</v>
      </c>
      <c r="F429" s="7">
        <f t="shared" si="12"/>
        <v>1485.1639680000001</v>
      </c>
      <c r="G429" s="8">
        <f t="shared" si="13"/>
        <v>512.55603199999996</v>
      </c>
      <c r="I429" t="str">
        <v>04-Apr</v>
      </c>
      <c r="L429" t="b">
        <v>0</v>
      </c>
      <c r="N429" t="b">
        <v>0</v>
      </c>
    </row>
    <row r="430" spans="1:14" x14ac:dyDescent="0.35">
      <c r="A430">
        <v>386.86</v>
      </c>
      <c r="B430">
        <v>4</v>
      </c>
      <c r="C430">
        <v>0.46700000000000003</v>
      </c>
      <c r="D430">
        <v>30.7</v>
      </c>
      <c r="F430" s="7">
        <f t="shared" si="12"/>
        <v>824.78551999999991</v>
      </c>
      <c r="G430" s="8">
        <f t="shared" si="13"/>
        <v>753.35448000000008</v>
      </c>
      <c r="I430" t="str">
        <v>01-Jan</v>
      </c>
      <c r="L430" t="b">
        <v>1</v>
      </c>
      <c r="N430" t="b">
        <v>0</v>
      </c>
    </row>
    <row r="431" spans="1:14" x14ac:dyDescent="0.35">
      <c r="A431">
        <v>168.03</v>
      </c>
      <c r="B431">
        <v>3</v>
      </c>
      <c r="C431">
        <v>0.40939999999999999</v>
      </c>
      <c r="D431">
        <v>21.24</v>
      </c>
      <c r="F431" s="7">
        <f t="shared" si="12"/>
        <v>297.715554</v>
      </c>
      <c r="G431" s="8">
        <f t="shared" si="13"/>
        <v>227.61444600000002</v>
      </c>
      <c r="I431" t="str">
        <v>05-May</v>
      </c>
      <c r="L431" t="b">
        <v>0</v>
      </c>
      <c r="N431" t="b">
        <v>0</v>
      </c>
    </row>
    <row r="432" spans="1:14" x14ac:dyDescent="0.35">
      <c r="A432">
        <v>248.11</v>
      </c>
      <c r="B432">
        <v>4</v>
      </c>
      <c r="C432">
        <v>0.13369999999999999</v>
      </c>
      <c r="D432">
        <v>17.78</v>
      </c>
      <c r="F432" s="7">
        <f t="shared" si="12"/>
        <v>859.7507720000001</v>
      </c>
      <c r="G432" s="8">
        <f t="shared" si="13"/>
        <v>150.46922799999999</v>
      </c>
      <c r="I432" t="str">
        <v>02-Feb</v>
      </c>
      <c r="L432" t="b">
        <v>0</v>
      </c>
      <c r="N432" t="b">
        <v>0</v>
      </c>
    </row>
    <row r="433" spans="1:14" x14ac:dyDescent="0.35">
      <c r="A433">
        <v>361.43</v>
      </c>
      <c r="B433">
        <v>5</v>
      </c>
      <c r="C433">
        <v>0.32100000000000001</v>
      </c>
      <c r="D433">
        <v>71.010000000000005</v>
      </c>
      <c r="F433" s="7">
        <f t="shared" si="12"/>
        <v>1227.0548500000002</v>
      </c>
      <c r="G433" s="8">
        <f t="shared" si="13"/>
        <v>651.10514999999998</v>
      </c>
      <c r="I433" t="str">
        <v>03-Mar</v>
      </c>
      <c r="L433" t="b">
        <v>0</v>
      </c>
      <c r="N433" t="b">
        <v>0</v>
      </c>
    </row>
    <row r="434" spans="1:14" x14ac:dyDescent="0.35">
      <c r="A434">
        <v>358.35</v>
      </c>
      <c r="B434">
        <v>3</v>
      </c>
      <c r="C434">
        <v>0.21309999999999998</v>
      </c>
      <c r="D434">
        <v>91.1</v>
      </c>
      <c r="F434" s="7">
        <f t="shared" si="12"/>
        <v>845.95684500000016</v>
      </c>
      <c r="G434" s="8">
        <f t="shared" si="13"/>
        <v>320.19315500000005</v>
      </c>
      <c r="I434" t="str">
        <v>07-Jul</v>
      </c>
      <c r="L434" t="b">
        <v>0</v>
      </c>
      <c r="N434" t="b">
        <v>0</v>
      </c>
    </row>
    <row r="435" spans="1:14" x14ac:dyDescent="0.35">
      <c r="A435">
        <v>374.78</v>
      </c>
      <c r="B435">
        <v>5</v>
      </c>
      <c r="C435">
        <v>0.19149999999999998</v>
      </c>
      <c r="D435">
        <v>12.11</v>
      </c>
      <c r="F435" s="7">
        <f t="shared" si="12"/>
        <v>1515.0481499999999</v>
      </c>
      <c r="G435" s="8">
        <f t="shared" si="13"/>
        <v>370.96184999999997</v>
      </c>
      <c r="I435" t="str">
        <v>12-Dec</v>
      </c>
      <c r="L435" t="b">
        <v>0</v>
      </c>
      <c r="N435" t="b">
        <v>0</v>
      </c>
    </row>
    <row r="436" spans="1:14" x14ac:dyDescent="0.35">
      <c r="A436">
        <v>399.27</v>
      </c>
      <c r="B436">
        <v>3</v>
      </c>
      <c r="C436">
        <v>7.2300000000000003E-2</v>
      </c>
      <c r="D436">
        <v>88.93</v>
      </c>
      <c r="F436" s="7">
        <f t="shared" si="12"/>
        <v>1111.2083369999998</v>
      </c>
      <c r="G436" s="8">
        <f t="shared" si="13"/>
        <v>175.53166300000001</v>
      </c>
      <c r="I436" t="str">
        <v>02-Feb</v>
      </c>
      <c r="L436" t="b">
        <v>0</v>
      </c>
      <c r="N436" t="b">
        <v>0</v>
      </c>
    </row>
    <row r="437" spans="1:14" x14ac:dyDescent="0.35">
      <c r="A437">
        <v>90.24</v>
      </c>
      <c r="B437">
        <v>5</v>
      </c>
      <c r="C437">
        <v>0.16200000000000001</v>
      </c>
      <c r="D437">
        <v>60.19</v>
      </c>
      <c r="F437" s="7">
        <f t="shared" si="12"/>
        <v>378.10559999999998</v>
      </c>
      <c r="G437" s="8">
        <f t="shared" si="13"/>
        <v>133.28440000000001</v>
      </c>
      <c r="I437" t="str">
        <v>09-Sep</v>
      </c>
      <c r="L437" t="b">
        <v>0</v>
      </c>
      <c r="N437" t="b">
        <v>0</v>
      </c>
    </row>
    <row r="438" spans="1:14" x14ac:dyDescent="0.35">
      <c r="A438">
        <v>408.4</v>
      </c>
      <c r="B438">
        <v>4</v>
      </c>
      <c r="C438">
        <v>0.2177</v>
      </c>
      <c r="D438">
        <v>27.59</v>
      </c>
      <c r="F438" s="7">
        <f t="shared" si="12"/>
        <v>1277.9652799999999</v>
      </c>
      <c r="G438" s="8">
        <f t="shared" si="13"/>
        <v>383.22471999999999</v>
      </c>
      <c r="I438" t="str">
        <v>02-Feb</v>
      </c>
      <c r="L438" t="b">
        <v>0</v>
      </c>
      <c r="N438" t="b">
        <v>0</v>
      </c>
    </row>
    <row r="439" spans="1:14" x14ac:dyDescent="0.35">
      <c r="A439">
        <v>211.06</v>
      </c>
      <c r="B439">
        <v>5</v>
      </c>
      <c r="C439">
        <v>0.15939999999999999</v>
      </c>
      <c r="D439">
        <v>65.67</v>
      </c>
      <c r="F439" s="7">
        <f t="shared" si="12"/>
        <v>887.08517999999992</v>
      </c>
      <c r="G439" s="8">
        <f t="shared" si="13"/>
        <v>233.88481999999999</v>
      </c>
      <c r="I439" t="str">
        <v>05-May</v>
      </c>
      <c r="L439" t="b">
        <v>0</v>
      </c>
      <c r="N439" t="b">
        <v>0</v>
      </c>
    </row>
    <row r="440" spans="1:14" x14ac:dyDescent="0.35">
      <c r="A440">
        <v>236.47</v>
      </c>
      <c r="B440">
        <v>5</v>
      </c>
      <c r="C440">
        <v>7.5899999999999995E-2</v>
      </c>
      <c r="D440">
        <v>32.11</v>
      </c>
      <c r="F440" s="7">
        <f t="shared" si="12"/>
        <v>1092.609635</v>
      </c>
      <c r="G440" s="8">
        <f t="shared" si="13"/>
        <v>121.85036499999998</v>
      </c>
      <c r="I440" t="str">
        <v>04-Apr</v>
      </c>
      <c r="L440" t="b">
        <v>0</v>
      </c>
      <c r="N440" t="b">
        <v>0</v>
      </c>
    </row>
    <row r="441" spans="1:14" x14ac:dyDescent="0.35">
      <c r="A441">
        <v>379.17</v>
      </c>
      <c r="B441">
        <v>4</v>
      </c>
      <c r="C441">
        <v>9.7999999999999997E-3</v>
      </c>
      <c r="D441">
        <v>100</v>
      </c>
      <c r="F441" s="7">
        <f t="shared" si="12"/>
        <v>1501.816536</v>
      </c>
      <c r="G441" s="8">
        <f t="shared" si="13"/>
        <v>114.86346399999999</v>
      </c>
      <c r="I441" t="str">
        <v>09-Sep</v>
      </c>
      <c r="L441" t="b">
        <v>0</v>
      </c>
      <c r="N441" t="b">
        <v>0</v>
      </c>
    </row>
    <row r="442" spans="1:14" x14ac:dyDescent="0.35">
      <c r="A442">
        <v>76.349999999999994</v>
      </c>
      <c r="B442">
        <v>5</v>
      </c>
      <c r="C442">
        <v>0.25180000000000002</v>
      </c>
      <c r="D442">
        <v>14.72</v>
      </c>
      <c r="F442" s="7">
        <f t="shared" si="12"/>
        <v>285.62534999999997</v>
      </c>
      <c r="G442" s="8">
        <f t="shared" si="13"/>
        <v>110.84465</v>
      </c>
      <c r="I442" t="str">
        <v>12-Dec</v>
      </c>
      <c r="L442" t="b">
        <v>0</v>
      </c>
      <c r="N442" t="b">
        <v>0</v>
      </c>
    </row>
    <row r="443" spans="1:14" x14ac:dyDescent="0.35">
      <c r="A443">
        <v>69.48</v>
      </c>
      <c r="B443">
        <v>5</v>
      </c>
      <c r="C443">
        <v>0.3407</v>
      </c>
      <c r="D443">
        <v>50.27</v>
      </c>
      <c r="F443" s="7">
        <f t="shared" si="12"/>
        <v>229.04082000000002</v>
      </c>
      <c r="G443" s="8">
        <f t="shared" si="13"/>
        <v>168.62918000000002</v>
      </c>
      <c r="I443" t="str">
        <v>06-Jun</v>
      </c>
      <c r="L443" t="b">
        <v>0</v>
      </c>
      <c r="N443" t="b">
        <v>0</v>
      </c>
    </row>
    <row r="444" spans="1:14" x14ac:dyDescent="0.35">
      <c r="A444">
        <v>158.72999999999999</v>
      </c>
      <c r="B444">
        <v>3</v>
      </c>
      <c r="C444">
        <v>0.2596</v>
      </c>
      <c r="D444">
        <v>20.149999999999999</v>
      </c>
      <c r="F444" s="7">
        <f t="shared" si="12"/>
        <v>352.57107599999995</v>
      </c>
      <c r="G444" s="8">
        <f t="shared" si="13"/>
        <v>143.76892399999997</v>
      </c>
      <c r="I444" t="str">
        <v>01-Jan</v>
      </c>
      <c r="L444" t="b">
        <v>1</v>
      </c>
      <c r="N444" t="b">
        <v>0</v>
      </c>
    </row>
    <row r="445" spans="1:14" x14ac:dyDescent="0.35">
      <c r="A445">
        <v>255.87</v>
      </c>
      <c r="B445">
        <v>3</v>
      </c>
      <c r="C445">
        <v>0.28000000000000003</v>
      </c>
      <c r="D445">
        <v>23.88</v>
      </c>
      <c r="F445" s="7">
        <f t="shared" si="12"/>
        <v>552.67920000000004</v>
      </c>
      <c r="G445" s="8">
        <f t="shared" si="13"/>
        <v>238.81080000000003</v>
      </c>
      <c r="I445" t="str">
        <v>12-Dec</v>
      </c>
      <c r="L445" t="b">
        <v>0</v>
      </c>
      <c r="N445" t="b">
        <v>0</v>
      </c>
    </row>
    <row r="446" spans="1:14" x14ac:dyDescent="0.35">
      <c r="A446">
        <v>81.66</v>
      </c>
      <c r="B446">
        <v>5</v>
      </c>
      <c r="C446">
        <v>0.2303</v>
      </c>
      <c r="D446">
        <v>63.14</v>
      </c>
      <c r="F446" s="7">
        <f t="shared" si="12"/>
        <v>314.26850999999999</v>
      </c>
      <c r="G446" s="8">
        <f t="shared" si="13"/>
        <v>157.17149000000001</v>
      </c>
      <c r="I446" t="str">
        <v>05-May</v>
      </c>
      <c r="L446" t="b">
        <v>0</v>
      </c>
      <c r="N446" t="b">
        <v>0</v>
      </c>
    </row>
    <row r="447" spans="1:14" x14ac:dyDescent="0.35">
      <c r="A447">
        <v>117.56</v>
      </c>
      <c r="B447">
        <v>3</v>
      </c>
      <c r="C447">
        <v>0.29139999999999999</v>
      </c>
      <c r="D447">
        <v>67.63</v>
      </c>
      <c r="F447" s="7">
        <f t="shared" si="12"/>
        <v>249.90904800000001</v>
      </c>
      <c r="G447" s="8">
        <f t="shared" si="13"/>
        <v>170.40095199999999</v>
      </c>
      <c r="I447" t="str">
        <v>11-Nov</v>
      </c>
      <c r="L447" t="b">
        <v>0</v>
      </c>
      <c r="N447" t="b">
        <v>0</v>
      </c>
    </row>
    <row r="448" spans="1:14" x14ac:dyDescent="0.35">
      <c r="A448">
        <v>496.11</v>
      </c>
      <c r="B448">
        <v>5</v>
      </c>
      <c r="C448">
        <v>0.35659999999999997</v>
      </c>
      <c r="D448">
        <v>75.89</v>
      </c>
      <c r="F448" s="7">
        <f t="shared" si="12"/>
        <v>1595.98587</v>
      </c>
      <c r="G448" s="8">
        <f t="shared" si="13"/>
        <v>960.45412999999996</v>
      </c>
      <c r="I448" t="str">
        <v>07-Jul</v>
      </c>
      <c r="L448" t="b">
        <v>0</v>
      </c>
      <c r="N448" t="b">
        <v>0</v>
      </c>
    </row>
    <row r="449" spans="1:14" x14ac:dyDescent="0.35">
      <c r="A449">
        <v>84.34</v>
      </c>
      <c r="B449">
        <v>3</v>
      </c>
      <c r="C449">
        <v>0.10050000000000001</v>
      </c>
      <c r="D449">
        <v>75.42</v>
      </c>
      <c r="F449" s="7">
        <f t="shared" si="12"/>
        <v>227.59148999999999</v>
      </c>
      <c r="G449" s="8">
        <f t="shared" si="13"/>
        <v>100.84851</v>
      </c>
      <c r="I449" t="str">
        <v>05-May</v>
      </c>
      <c r="L449" t="b">
        <v>0</v>
      </c>
      <c r="N449" t="b">
        <v>0</v>
      </c>
    </row>
    <row r="450" spans="1:14" x14ac:dyDescent="0.35">
      <c r="A450">
        <v>155.38</v>
      </c>
      <c r="B450">
        <v>5</v>
      </c>
      <c r="C450">
        <v>9.69E-2</v>
      </c>
      <c r="D450">
        <v>17.53</v>
      </c>
      <c r="F450" s="7">
        <f t="shared" si="12"/>
        <v>701.61838999999998</v>
      </c>
      <c r="G450" s="8">
        <f t="shared" si="13"/>
        <v>92.811610000000002</v>
      </c>
      <c r="I450" t="str">
        <v>08-Aug</v>
      </c>
      <c r="L450" t="b">
        <v>0</v>
      </c>
      <c r="N450" t="b">
        <v>0</v>
      </c>
    </row>
    <row r="451" spans="1:14" x14ac:dyDescent="0.35">
      <c r="A451">
        <v>257.99</v>
      </c>
      <c r="B451">
        <v>5</v>
      </c>
      <c r="C451">
        <v>0.1394</v>
      </c>
      <c r="D451">
        <v>47.12</v>
      </c>
      <c r="F451" s="7">
        <f t="shared" ref="F451:F514" si="14">($A451*$B451)*(1-$C451)</f>
        <v>1110.1309700000002</v>
      </c>
      <c r="G451" s="8">
        <f t="shared" ref="G451:G514" si="15">D451+(A451*B451*C451)</f>
        <v>226.93903</v>
      </c>
      <c r="I451" t="str">
        <v>06-Jun</v>
      </c>
      <c r="L451" t="b">
        <v>0</v>
      </c>
      <c r="N451" t="b">
        <v>0</v>
      </c>
    </row>
    <row r="452" spans="1:14" x14ac:dyDescent="0.35">
      <c r="A452">
        <v>153.02000000000001</v>
      </c>
      <c r="B452">
        <v>4</v>
      </c>
      <c r="C452">
        <v>0.25980000000000003</v>
      </c>
      <c r="D452">
        <v>25.8</v>
      </c>
      <c r="F452" s="7">
        <f t="shared" si="14"/>
        <v>453.06161600000001</v>
      </c>
      <c r="G452" s="8">
        <f t="shared" si="15"/>
        <v>184.81838400000004</v>
      </c>
      <c r="I452" t="str">
        <v>12-Dec</v>
      </c>
      <c r="L452" t="b">
        <v>0</v>
      </c>
      <c r="N452" t="b">
        <v>0</v>
      </c>
    </row>
    <row r="453" spans="1:14" x14ac:dyDescent="0.35">
      <c r="A453">
        <v>67.39</v>
      </c>
      <c r="B453">
        <v>4</v>
      </c>
      <c r="C453">
        <v>0.1079</v>
      </c>
      <c r="D453">
        <v>40.409999999999997</v>
      </c>
      <c r="F453" s="7">
        <f t="shared" si="14"/>
        <v>240.47447600000001</v>
      </c>
      <c r="G453" s="8">
        <f t="shared" si="15"/>
        <v>69.495523999999989</v>
      </c>
      <c r="I453" t="str">
        <v>08-Aug</v>
      </c>
      <c r="L453" t="b">
        <v>0</v>
      </c>
      <c r="N453" t="b">
        <v>0</v>
      </c>
    </row>
    <row r="454" spans="1:14" x14ac:dyDescent="0.35">
      <c r="A454">
        <v>286.31</v>
      </c>
      <c r="B454">
        <v>5</v>
      </c>
      <c r="C454">
        <v>0.37509999999999999</v>
      </c>
      <c r="D454">
        <v>62.82</v>
      </c>
      <c r="F454" s="7">
        <f t="shared" si="14"/>
        <v>894.57559500000002</v>
      </c>
      <c r="G454" s="8">
        <f t="shared" si="15"/>
        <v>599.79440499999998</v>
      </c>
      <c r="I454" t="str">
        <v>08-Aug</v>
      </c>
      <c r="L454" t="b">
        <v>0</v>
      </c>
      <c r="N454" t="b">
        <v>0</v>
      </c>
    </row>
    <row r="455" spans="1:14" x14ac:dyDescent="0.35">
      <c r="A455">
        <v>332.01</v>
      </c>
      <c r="B455">
        <v>4</v>
      </c>
      <c r="C455">
        <v>4.3799999999999999E-2</v>
      </c>
      <c r="D455">
        <v>49.59</v>
      </c>
      <c r="F455" s="7">
        <f t="shared" si="14"/>
        <v>1269.871848</v>
      </c>
      <c r="G455" s="8">
        <f t="shared" si="15"/>
        <v>107.758152</v>
      </c>
      <c r="I455" t="str">
        <v>06-Jun</v>
      </c>
      <c r="L455" t="b">
        <v>0</v>
      </c>
      <c r="N455" t="b">
        <v>0</v>
      </c>
    </row>
    <row r="456" spans="1:14" x14ac:dyDescent="0.35">
      <c r="A456">
        <v>331.34</v>
      </c>
      <c r="B456">
        <v>3</v>
      </c>
      <c r="C456">
        <v>0.49790000000000001</v>
      </c>
      <c r="D456">
        <v>50.92</v>
      </c>
      <c r="F456" s="7">
        <f t="shared" si="14"/>
        <v>499.097442</v>
      </c>
      <c r="G456" s="8">
        <f t="shared" si="15"/>
        <v>545.84255799999994</v>
      </c>
      <c r="I456" t="str">
        <v>12-Dec</v>
      </c>
      <c r="L456" t="b">
        <v>0</v>
      </c>
      <c r="N456" t="b">
        <v>0</v>
      </c>
    </row>
    <row r="457" spans="1:14" x14ac:dyDescent="0.35">
      <c r="A457">
        <v>314.49</v>
      </c>
      <c r="B457">
        <v>3</v>
      </c>
      <c r="C457">
        <v>0.28220000000000001</v>
      </c>
      <c r="D457">
        <v>26.25</v>
      </c>
      <c r="F457" s="7">
        <f t="shared" si="14"/>
        <v>677.22276599999998</v>
      </c>
      <c r="G457" s="8">
        <f t="shared" si="15"/>
        <v>292.49723399999999</v>
      </c>
      <c r="I457" t="str">
        <v>12-Dec</v>
      </c>
      <c r="L457" t="b">
        <v>0</v>
      </c>
      <c r="N457" t="b">
        <v>0</v>
      </c>
    </row>
    <row r="458" spans="1:14" x14ac:dyDescent="0.35">
      <c r="A458">
        <v>343.89</v>
      </c>
      <c r="B458">
        <v>5</v>
      </c>
      <c r="C458">
        <v>9.1000000000000004E-3</v>
      </c>
      <c r="D458">
        <v>58.79</v>
      </c>
      <c r="F458" s="7">
        <f t="shared" si="14"/>
        <v>1703.8030049999998</v>
      </c>
      <c r="G458" s="8">
        <f t="shared" si="15"/>
        <v>74.436994999999996</v>
      </c>
      <c r="I458" t="str">
        <v>08-Aug</v>
      </c>
      <c r="L458" t="b">
        <v>0</v>
      </c>
      <c r="N458" t="b">
        <v>0</v>
      </c>
    </row>
    <row r="459" spans="1:14" x14ac:dyDescent="0.35">
      <c r="A459">
        <v>440.28</v>
      </c>
      <c r="B459">
        <v>3</v>
      </c>
      <c r="C459">
        <v>0.16370000000000001</v>
      </c>
      <c r="D459">
        <v>84.71</v>
      </c>
      <c r="F459" s="7">
        <f t="shared" si="14"/>
        <v>1104.6184920000001</v>
      </c>
      <c r="G459" s="8">
        <f t="shared" si="15"/>
        <v>300.93150800000001</v>
      </c>
      <c r="I459" t="str">
        <v>12-Dec</v>
      </c>
      <c r="L459" t="b">
        <v>0</v>
      </c>
      <c r="N459" t="b">
        <v>0</v>
      </c>
    </row>
    <row r="460" spans="1:14" x14ac:dyDescent="0.35">
      <c r="A460">
        <v>303.52999999999997</v>
      </c>
      <c r="B460">
        <v>3</v>
      </c>
      <c r="C460">
        <v>0.15789999999999998</v>
      </c>
      <c r="D460">
        <v>98.9</v>
      </c>
      <c r="F460" s="7">
        <f t="shared" si="14"/>
        <v>766.80783899999994</v>
      </c>
      <c r="G460" s="8">
        <f t="shared" si="15"/>
        <v>242.68216099999998</v>
      </c>
      <c r="I460" t="str">
        <v>02-Feb</v>
      </c>
      <c r="L460" t="b">
        <v>0</v>
      </c>
      <c r="N460" t="b">
        <v>0</v>
      </c>
    </row>
    <row r="461" spans="1:14" x14ac:dyDescent="0.35">
      <c r="A461">
        <v>87.84</v>
      </c>
      <c r="B461">
        <v>4</v>
      </c>
      <c r="C461">
        <v>0.10869999999999999</v>
      </c>
      <c r="D461">
        <v>78.400000000000006</v>
      </c>
      <c r="F461" s="7">
        <f t="shared" si="14"/>
        <v>313.167168</v>
      </c>
      <c r="G461" s="8">
        <f t="shared" si="15"/>
        <v>116.592832</v>
      </c>
      <c r="I461" t="str">
        <v>11-Nov</v>
      </c>
      <c r="L461" t="b">
        <v>0</v>
      </c>
      <c r="N461" t="b">
        <v>0</v>
      </c>
    </row>
    <row r="462" spans="1:14" x14ac:dyDescent="0.35">
      <c r="A462">
        <v>435.49</v>
      </c>
      <c r="B462">
        <v>3</v>
      </c>
      <c r="C462">
        <v>2.2700000000000001E-2</v>
      </c>
      <c r="D462">
        <v>85.77</v>
      </c>
      <c r="F462" s="7">
        <f t="shared" si="14"/>
        <v>1276.8131309999999</v>
      </c>
      <c r="G462" s="8">
        <f t="shared" si="15"/>
        <v>115.426869</v>
      </c>
      <c r="I462" t="str">
        <v>03-Mar</v>
      </c>
      <c r="L462" t="b">
        <v>0</v>
      </c>
      <c r="N462" t="b">
        <v>0</v>
      </c>
    </row>
    <row r="463" spans="1:14" x14ac:dyDescent="0.35">
      <c r="A463">
        <v>476.26</v>
      </c>
      <c r="B463">
        <v>3</v>
      </c>
      <c r="C463">
        <v>0.44840000000000002</v>
      </c>
      <c r="D463">
        <v>59.32</v>
      </c>
      <c r="F463" s="7">
        <f t="shared" si="14"/>
        <v>788.115048</v>
      </c>
      <c r="G463" s="8">
        <f t="shared" si="15"/>
        <v>699.98495200000002</v>
      </c>
      <c r="I463" t="str">
        <v>09-Sep</v>
      </c>
      <c r="L463" t="b">
        <v>0</v>
      </c>
      <c r="N463" t="b">
        <v>0</v>
      </c>
    </row>
    <row r="464" spans="1:14" x14ac:dyDescent="0.35">
      <c r="A464">
        <v>166.48</v>
      </c>
      <c r="B464">
        <v>5</v>
      </c>
      <c r="C464">
        <v>0.18010000000000001</v>
      </c>
      <c r="D464">
        <v>26.71</v>
      </c>
      <c r="F464" s="7">
        <f t="shared" si="14"/>
        <v>682.48475999999994</v>
      </c>
      <c r="G464" s="8">
        <f t="shared" si="15"/>
        <v>176.62524000000002</v>
      </c>
      <c r="I464" t="str">
        <v>03-Mar</v>
      </c>
      <c r="L464" t="b">
        <v>0</v>
      </c>
      <c r="N464" t="b">
        <v>0</v>
      </c>
    </row>
    <row r="465" spans="1:14" x14ac:dyDescent="0.35">
      <c r="A465">
        <v>437.81</v>
      </c>
      <c r="B465">
        <v>5</v>
      </c>
      <c r="C465">
        <v>5.7200000000000001E-2</v>
      </c>
      <c r="D465">
        <v>34.020000000000003</v>
      </c>
      <c r="F465" s="7">
        <f t="shared" si="14"/>
        <v>2063.8363400000003</v>
      </c>
      <c r="G465" s="8">
        <f t="shared" si="15"/>
        <v>159.23366000000001</v>
      </c>
      <c r="I465" t="str">
        <v>03-Mar</v>
      </c>
      <c r="L465" t="b">
        <v>0</v>
      </c>
      <c r="N465" t="b">
        <v>0</v>
      </c>
    </row>
    <row r="466" spans="1:14" x14ac:dyDescent="0.35">
      <c r="A466">
        <v>230.73</v>
      </c>
      <c r="B466">
        <v>5</v>
      </c>
      <c r="C466">
        <v>0.46639999999999998</v>
      </c>
      <c r="D466">
        <v>42.35</v>
      </c>
      <c r="F466" s="7">
        <f t="shared" si="14"/>
        <v>615.58763999999996</v>
      </c>
      <c r="G466" s="8">
        <f t="shared" si="15"/>
        <v>580.41235999999992</v>
      </c>
      <c r="I466" t="str">
        <v>10-Oct</v>
      </c>
      <c r="L466" t="b">
        <v>0</v>
      </c>
      <c r="N466" t="b">
        <v>0</v>
      </c>
    </row>
    <row r="467" spans="1:14" x14ac:dyDescent="0.35">
      <c r="A467">
        <v>257.72000000000003</v>
      </c>
      <c r="B467">
        <v>4</v>
      </c>
      <c r="C467">
        <v>6.5799999999999997E-2</v>
      </c>
      <c r="D467">
        <v>33.18</v>
      </c>
      <c r="F467" s="7">
        <f t="shared" si="14"/>
        <v>963.0480960000001</v>
      </c>
      <c r="G467" s="8">
        <f t="shared" si="15"/>
        <v>101.01190400000002</v>
      </c>
      <c r="I467" t="str">
        <v>01-Jan</v>
      </c>
      <c r="L467" t="b">
        <v>1</v>
      </c>
      <c r="N467" t="b">
        <v>0</v>
      </c>
    </row>
    <row r="468" spans="1:14" x14ac:dyDescent="0.35">
      <c r="A468">
        <v>381.22</v>
      </c>
      <c r="B468">
        <v>3</v>
      </c>
      <c r="C468">
        <v>0.12380000000000001</v>
      </c>
      <c r="D468">
        <v>21.9</v>
      </c>
      <c r="F468" s="7">
        <f t="shared" si="14"/>
        <v>1002.0748920000001</v>
      </c>
      <c r="G468" s="8">
        <f t="shared" si="15"/>
        <v>163.48510800000003</v>
      </c>
      <c r="I468" t="str">
        <v>10-Oct</v>
      </c>
      <c r="L468" t="b">
        <v>0</v>
      </c>
      <c r="N468" t="b">
        <v>0</v>
      </c>
    </row>
    <row r="469" spans="1:14" x14ac:dyDescent="0.35">
      <c r="A469">
        <v>231.67</v>
      </c>
      <c r="B469">
        <v>4</v>
      </c>
      <c r="C469">
        <v>0.31540000000000001</v>
      </c>
      <c r="D469">
        <v>60.23</v>
      </c>
      <c r="F469" s="7">
        <f t="shared" si="14"/>
        <v>634.40512799999999</v>
      </c>
      <c r="G469" s="8">
        <f t="shared" si="15"/>
        <v>352.50487200000003</v>
      </c>
      <c r="I469" t="str">
        <v>02-Feb</v>
      </c>
      <c r="L469" t="b">
        <v>0</v>
      </c>
      <c r="N469" t="b">
        <v>0</v>
      </c>
    </row>
    <row r="470" spans="1:14" x14ac:dyDescent="0.35">
      <c r="A470">
        <v>499.13</v>
      </c>
      <c r="B470">
        <v>3</v>
      </c>
      <c r="C470">
        <v>0.45700000000000002</v>
      </c>
      <c r="D470">
        <v>30.49</v>
      </c>
      <c r="F470" s="7">
        <f t="shared" si="14"/>
        <v>813.08276999999987</v>
      </c>
      <c r="G470" s="8">
        <f t="shared" si="15"/>
        <v>714.79723000000001</v>
      </c>
      <c r="I470" t="str">
        <v>05-May</v>
      </c>
      <c r="L470" t="b">
        <v>0</v>
      </c>
      <c r="N470" t="b">
        <v>0</v>
      </c>
    </row>
    <row r="471" spans="1:14" x14ac:dyDescent="0.35">
      <c r="A471">
        <v>58.71</v>
      </c>
      <c r="B471">
        <v>5</v>
      </c>
      <c r="C471">
        <v>0.36249999999999999</v>
      </c>
      <c r="D471">
        <v>37.15</v>
      </c>
      <c r="F471" s="7">
        <f t="shared" si="14"/>
        <v>187.138125</v>
      </c>
      <c r="G471" s="8">
        <f t="shared" si="15"/>
        <v>143.56187499999999</v>
      </c>
      <c r="I471" t="str">
        <v>12-Dec</v>
      </c>
      <c r="L471" t="b">
        <v>0</v>
      </c>
      <c r="N471" t="b">
        <v>0</v>
      </c>
    </row>
    <row r="472" spans="1:14" x14ac:dyDescent="0.35">
      <c r="A472">
        <v>441.25</v>
      </c>
      <c r="B472">
        <v>5</v>
      </c>
      <c r="C472">
        <v>5.7999999999999996E-2</v>
      </c>
      <c r="D472">
        <v>91.41</v>
      </c>
      <c r="F472" s="7">
        <f t="shared" si="14"/>
        <v>2078.2874999999999</v>
      </c>
      <c r="G472" s="8">
        <f t="shared" si="15"/>
        <v>219.3725</v>
      </c>
      <c r="I472" t="str">
        <v>09-Sep</v>
      </c>
      <c r="L472" t="b">
        <v>0</v>
      </c>
      <c r="N472" t="b">
        <v>0</v>
      </c>
    </row>
    <row r="473" spans="1:14" x14ac:dyDescent="0.35">
      <c r="A473">
        <v>265.27</v>
      </c>
      <c r="B473">
        <v>4</v>
      </c>
      <c r="C473">
        <v>0.46409999999999996</v>
      </c>
      <c r="D473">
        <v>74.260000000000005</v>
      </c>
      <c r="F473" s="7">
        <f t="shared" si="14"/>
        <v>568.63277200000005</v>
      </c>
      <c r="G473" s="8">
        <f t="shared" si="15"/>
        <v>566.70722799999999</v>
      </c>
      <c r="I473" t="str">
        <v>06-Jun</v>
      </c>
      <c r="L473" t="b">
        <v>0</v>
      </c>
      <c r="N473" t="b">
        <v>0</v>
      </c>
    </row>
    <row r="474" spans="1:14" x14ac:dyDescent="0.35">
      <c r="A474">
        <v>400.21</v>
      </c>
      <c r="B474">
        <v>4</v>
      </c>
      <c r="C474">
        <v>0.2366</v>
      </c>
      <c r="D474">
        <v>89.4</v>
      </c>
      <c r="F474" s="7">
        <f t="shared" si="14"/>
        <v>1222.0812559999999</v>
      </c>
      <c r="G474" s="8">
        <f t="shared" si="15"/>
        <v>468.15874399999996</v>
      </c>
      <c r="I474" t="str">
        <v>05-May</v>
      </c>
      <c r="L474" t="b">
        <v>0</v>
      </c>
      <c r="N474" t="b">
        <v>0</v>
      </c>
    </row>
    <row r="475" spans="1:14" x14ac:dyDescent="0.35">
      <c r="A475">
        <v>260.3</v>
      </c>
      <c r="B475">
        <v>5</v>
      </c>
      <c r="C475">
        <v>3.73E-2</v>
      </c>
      <c r="D475">
        <v>55.63</v>
      </c>
      <c r="F475" s="7">
        <f t="shared" si="14"/>
        <v>1252.9540500000001</v>
      </c>
      <c r="G475" s="8">
        <f t="shared" si="15"/>
        <v>104.17595</v>
      </c>
      <c r="I475" t="str">
        <v>09-Sep</v>
      </c>
      <c r="L475" t="b">
        <v>0</v>
      </c>
      <c r="N475" t="b">
        <v>0</v>
      </c>
    </row>
    <row r="476" spans="1:14" x14ac:dyDescent="0.35">
      <c r="A476">
        <v>95.94</v>
      </c>
      <c r="B476">
        <v>5</v>
      </c>
      <c r="C476">
        <v>0.43329999999999996</v>
      </c>
      <c r="D476">
        <v>30.43</v>
      </c>
      <c r="F476" s="7">
        <f t="shared" si="14"/>
        <v>271.84598999999997</v>
      </c>
      <c r="G476" s="8">
        <f t="shared" si="15"/>
        <v>238.28400999999999</v>
      </c>
      <c r="I476" t="str">
        <v>10-Oct</v>
      </c>
      <c r="L476" t="b">
        <v>0</v>
      </c>
      <c r="N476" t="b">
        <v>0</v>
      </c>
    </row>
    <row r="477" spans="1:14" x14ac:dyDescent="0.35">
      <c r="A477">
        <v>460.62</v>
      </c>
      <c r="B477">
        <v>4</v>
      </c>
      <c r="C477">
        <v>0.15609999999999999</v>
      </c>
      <c r="D477">
        <v>10.59</v>
      </c>
      <c r="F477" s="7">
        <f t="shared" si="14"/>
        <v>1554.868872</v>
      </c>
      <c r="G477" s="8">
        <f t="shared" si="15"/>
        <v>298.20112799999998</v>
      </c>
      <c r="I477" t="str">
        <v>08-Aug</v>
      </c>
      <c r="L477" t="b">
        <v>0</v>
      </c>
      <c r="N477" t="b">
        <v>0</v>
      </c>
    </row>
    <row r="478" spans="1:14" x14ac:dyDescent="0.35">
      <c r="A478">
        <v>428.48</v>
      </c>
      <c r="B478">
        <v>4</v>
      </c>
      <c r="C478">
        <v>8.8800000000000004E-2</v>
      </c>
      <c r="D478">
        <v>96.05</v>
      </c>
      <c r="F478" s="7">
        <f t="shared" si="14"/>
        <v>1561.7239040000002</v>
      </c>
      <c r="G478" s="8">
        <f t="shared" si="15"/>
        <v>248.24609600000002</v>
      </c>
      <c r="I478" t="str">
        <v>06-Jun</v>
      </c>
      <c r="L478" t="b">
        <v>0</v>
      </c>
      <c r="N478" t="b">
        <v>0</v>
      </c>
    </row>
    <row r="479" spans="1:14" x14ac:dyDescent="0.35">
      <c r="A479">
        <v>191.92</v>
      </c>
      <c r="B479">
        <v>4</v>
      </c>
      <c r="C479">
        <v>2.52E-2</v>
      </c>
      <c r="D479">
        <v>39.299999999999997</v>
      </c>
      <c r="F479" s="7">
        <f t="shared" si="14"/>
        <v>748.33446399999991</v>
      </c>
      <c r="G479" s="8">
        <f t="shared" si="15"/>
        <v>58.645535999999993</v>
      </c>
      <c r="I479" t="str">
        <v>07-Jul</v>
      </c>
      <c r="L479" t="b">
        <v>0</v>
      </c>
      <c r="N479" t="b">
        <v>0</v>
      </c>
    </row>
    <row r="480" spans="1:14" x14ac:dyDescent="0.35">
      <c r="A480">
        <v>107.18</v>
      </c>
      <c r="B480">
        <v>4</v>
      </c>
      <c r="C480">
        <v>0.1472</v>
      </c>
      <c r="D480">
        <v>93.78</v>
      </c>
      <c r="F480" s="7">
        <f t="shared" si="14"/>
        <v>365.612416</v>
      </c>
      <c r="G480" s="8">
        <f t="shared" si="15"/>
        <v>156.887584</v>
      </c>
      <c r="I480" t="str">
        <v>01-Jan</v>
      </c>
      <c r="L480" t="b">
        <v>1</v>
      </c>
      <c r="N480" t="b">
        <v>0</v>
      </c>
    </row>
    <row r="481" spans="1:14" x14ac:dyDescent="0.35">
      <c r="A481">
        <v>167.41</v>
      </c>
      <c r="B481">
        <v>3</v>
      </c>
      <c r="C481">
        <v>4.0000000000000001E-3</v>
      </c>
      <c r="D481">
        <v>25.1</v>
      </c>
      <c r="F481" s="7">
        <f t="shared" si="14"/>
        <v>500.22108000000003</v>
      </c>
      <c r="G481" s="8">
        <f t="shared" si="15"/>
        <v>27.108920000000001</v>
      </c>
      <c r="I481" t="str">
        <v>06-Jun</v>
      </c>
      <c r="L481" t="b">
        <v>0</v>
      </c>
      <c r="N481" t="b">
        <v>0</v>
      </c>
    </row>
    <row r="482" spans="1:14" x14ac:dyDescent="0.35">
      <c r="A482">
        <v>472.43</v>
      </c>
      <c r="B482">
        <v>5</v>
      </c>
      <c r="C482">
        <v>0.4</v>
      </c>
      <c r="D482">
        <v>32.99</v>
      </c>
      <c r="F482" s="7">
        <f t="shared" si="14"/>
        <v>1417.29</v>
      </c>
      <c r="G482" s="8">
        <f t="shared" si="15"/>
        <v>977.85000000000014</v>
      </c>
      <c r="I482" t="str">
        <v>05-May</v>
      </c>
      <c r="L482" t="b">
        <v>0</v>
      </c>
      <c r="N482" t="b">
        <v>0</v>
      </c>
    </row>
    <row r="483" spans="1:14" x14ac:dyDescent="0.35">
      <c r="A483">
        <v>85.46</v>
      </c>
      <c r="B483">
        <v>3</v>
      </c>
      <c r="C483">
        <v>0.1295</v>
      </c>
      <c r="D483">
        <v>70.84</v>
      </c>
      <c r="F483" s="7">
        <f t="shared" si="14"/>
        <v>223.17879000000002</v>
      </c>
      <c r="G483" s="8">
        <f t="shared" si="15"/>
        <v>104.04121000000001</v>
      </c>
      <c r="I483" t="str">
        <v>04-Apr</v>
      </c>
      <c r="L483" t="b">
        <v>0</v>
      </c>
      <c r="N483" t="b">
        <v>0</v>
      </c>
    </row>
    <row r="484" spans="1:14" x14ac:dyDescent="0.35">
      <c r="A484">
        <v>107.95</v>
      </c>
      <c r="B484">
        <v>5</v>
      </c>
      <c r="C484">
        <v>0.49249999999999999</v>
      </c>
      <c r="D484">
        <v>59.38</v>
      </c>
      <c r="F484" s="7">
        <f t="shared" si="14"/>
        <v>273.92312500000003</v>
      </c>
      <c r="G484" s="8">
        <f t="shared" si="15"/>
        <v>325.20687499999997</v>
      </c>
      <c r="I484" t="str">
        <v>06-Jun</v>
      </c>
      <c r="L484" t="b">
        <v>0</v>
      </c>
      <c r="N484" t="b">
        <v>0</v>
      </c>
    </row>
    <row r="485" spans="1:14" x14ac:dyDescent="0.35">
      <c r="A485">
        <v>496.24</v>
      </c>
      <c r="B485">
        <v>3</v>
      </c>
      <c r="C485">
        <v>0.30349999999999999</v>
      </c>
      <c r="D485">
        <v>31.36</v>
      </c>
      <c r="F485" s="7">
        <f t="shared" si="14"/>
        <v>1036.89348</v>
      </c>
      <c r="G485" s="8">
        <f t="shared" si="15"/>
        <v>483.18652000000003</v>
      </c>
      <c r="I485" t="str">
        <v>04-Apr</v>
      </c>
      <c r="L485" t="b">
        <v>0</v>
      </c>
      <c r="N485" t="b">
        <v>0</v>
      </c>
    </row>
    <row r="486" spans="1:14" x14ac:dyDescent="0.35">
      <c r="A486">
        <v>159.31</v>
      </c>
      <c r="B486">
        <v>5</v>
      </c>
      <c r="C486">
        <v>0.03</v>
      </c>
      <c r="D486">
        <v>12.19</v>
      </c>
      <c r="F486" s="7">
        <f t="shared" si="14"/>
        <v>772.65349999999989</v>
      </c>
      <c r="G486" s="8">
        <f t="shared" si="15"/>
        <v>36.086499999999994</v>
      </c>
      <c r="I486" t="str">
        <v>06-Jun</v>
      </c>
      <c r="L486" t="b">
        <v>0</v>
      </c>
      <c r="N486" t="b">
        <v>0</v>
      </c>
    </row>
    <row r="487" spans="1:14" x14ac:dyDescent="0.35">
      <c r="A487">
        <v>56.67</v>
      </c>
      <c r="B487">
        <v>5</v>
      </c>
      <c r="C487">
        <v>3.32E-2</v>
      </c>
      <c r="D487">
        <v>48.17</v>
      </c>
      <c r="F487" s="7">
        <f t="shared" si="14"/>
        <v>273.94278000000003</v>
      </c>
      <c r="G487" s="8">
        <f t="shared" si="15"/>
        <v>57.577220000000004</v>
      </c>
      <c r="I487" t="str">
        <v>07-Jul</v>
      </c>
      <c r="L487" t="b">
        <v>0</v>
      </c>
      <c r="N487" t="b">
        <v>0</v>
      </c>
    </row>
    <row r="488" spans="1:14" x14ac:dyDescent="0.35">
      <c r="A488">
        <v>212.88</v>
      </c>
      <c r="B488">
        <v>5</v>
      </c>
      <c r="C488">
        <v>0.36700000000000005</v>
      </c>
      <c r="D488">
        <v>42.61</v>
      </c>
      <c r="F488" s="7">
        <f t="shared" si="14"/>
        <v>673.76520000000005</v>
      </c>
      <c r="G488" s="8">
        <f t="shared" si="15"/>
        <v>433.24480000000011</v>
      </c>
      <c r="I488" t="str">
        <v>02-Feb</v>
      </c>
      <c r="L488" t="b">
        <v>0</v>
      </c>
      <c r="N488" t="b">
        <v>0</v>
      </c>
    </row>
    <row r="489" spans="1:14" x14ac:dyDescent="0.35">
      <c r="A489">
        <v>261.45999999999998</v>
      </c>
      <c r="B489">
        <v>5</v>
      </c>
      <c r="C489">
        <v>0.19120000000000001</v>
      </c>
      <c r="D489">
        <v>92.34</v>
      </c>
      <c r="F489" s="7">
        <f t="shared" si="14"/>
        <v>1057.3442399999999</v>
      </c>
      <c r="G489" s="8">
        <f t="shared" si="15"/>
        <v>342.29575999999997</v>
      </c>
      <c r="I489" t="str">
        <v>05-May</v>
      </c>
      <c r="L489" t="b">
        <v>0</v>
      </c>
      <c r="N489" t="b">
        <v>0</v>
      </c>
    </row>
    <row r="490" spans="1:14" x14ac:dyDescent="0.35">
      <c r="A490">
        <v>307.89</v>
      </c>
      <c r="B490">
        <v>3</v>
      </c>
      <c r="C490">
        <v>0.125</v>
      </c>
      <c r="D490">
        <v>50.89</v>
      </c>
      <c r="F490" s="7">
        <f t="shared" si="14"/>
        <v>808.21124999999995</v>
      </c>
      <c r="G490" s="8">
        <f t="shared" si="15"/>
        <v>166.34875</v>
      </c>
      <c r="I490" t="str">
        <v>04-Apr</v>
      </c>
      <c r="L490" t="b">
        <v>0</v>
      </c>
      <c r="N490" t="b">
        <v>0</v>
      </c>
    </row>
    <row r="491" spans="1:14" x14ac:dyDescent="0.35">
      <c r="A491">
        <v>165.89</v>
      </c>
      <c r="B491">
        <v>4</v>
      </c>
      <c r="C491">
        <v>0.1065</v>
      </c>
      <c r="D491">
        <v>44.19</v>
      </c>
      <c r="F491" s="7">
        <f t="shared" si="14"/>
        <v>592.89085999999998</v>
      </c>
      <c r="G491" s="8">
        <f t="shared" si="15"/>
        <v>114.85914</v>
      </c>
      <c r="I491" t="str">
        <v>05-May</v>
      </c>
      <c r="L491" t="b">
        <v>0</v>
      </c>
      <c r="N491" t="b">
        <v>0</v>
      </c>
    </row>
    <row r="492" spans="1:14" x14ac:dyDescent="0.35">
      <c r="A492">
        <v>408.31</v>
      </c>
      <c r="B492">
        <v>3</v>
      </c>
      <c r="C492">
        <v>0.496</v>
      </c>
      <c r="D492">
        <v>42.69</v>
      </c>
      <c r="F492" s="7">
        <f t="shared" si="14"/>
        <v>617.36472000000003</v>
      </c>
      <c r="G492" s="8">
        <f t="shared" si="15"/>
        <v>650.25528000000008</v>
      </c>
      <c r="I492" t="str">
        <v>10-Oct</v>
      </c>
      <c r="L492" t="b">
        <v>0</v>
      </c>
      <c r="N492" t="b">
        <v>0</v>
      </c>
    </row>
    <row r="493" spans="1:14" x14ac:dyDescent="0.35">
      <c r="A493">
        <v>127.44</v>
      </c>
      <c r="B493">
        <v>3</v>
      </c>
      <c r="C493">
        <v>5.9900000000000002E-2</v>
      </c>
      <c r="D493">
        <v>87.95</v>
      </c>
      <c r="F493" s="7">
        <f t="shared" si="14"/>
        <v>359.41903200000002</v>
      </c>
      <c r="G493" s="8">
        <f t="shared" si="15"/>
        <v>110.85096799999999</v>
      </c>
      <c r="I493" t="str">
        <v>06-Jun</v>
      </c>
      <c r="L493" t="b">
        <v>0</v>
      </c>
      <c r="N493" t="b">
        <v>0</v>
      </c>
    </row>
    <row r="494" spans="1:14" x14ac:dyDescent="0.35">
      <c r="A494">
        <v>480.13</v>
      </c>
      <c r="B494">
        <v>5</v>
      </c>
      <c r="C494">
        <v>0.15710000000000002</v>
      </c>
      <c r="D494">
        <v>88.63</v>
      </c>
      <c r="F494" s="7">
        <f t="shared" si="14"/>
        <v>2023.507885</v>
      </c>
      <c r="G494" s="8">
        <f t="shared" si="15"/>
        <v>465.77211500000004</v>
      </c>
      <c r="I494" t="str">
        <v>05-May</v>
      </c>
      <c r="L494" t="b">
        <v>0</v>
      </c>
      <c r="N494" t="b">
        <v>0</v>
      </c>
    </row>
    <row r="495" spans="1:14" x14ac:dyDescent="0.35">
      <c r="A495">
        <v>322.82</v>
      </c>
      <c r="B495">
        <v>5</v>
      </c>
      <c r="C495">
        <v>0.3019</v>
      </c>
      <c r="D495">
        <v>38.28</v>
      </c>
      <c r="F495" s="7">
        <f t="shared" si="14"/>
        <v>1126.8032099999998</v>
      </c>
      <c r="G495" s="8">
        <f t="shared" si="15"/>
        <v>525.57678999999996</v>
      </c>
      <c r="I495" t="str">
        <v>11-Nov</v>
      </c>
      <c r="L495" t="b">
        <v>0</v>
      </c>
      <c r="N495" t="b">
        <v>0</v>
      </c>
    </row>
    <row r="496" spans="1:14" x14ac:dyDescent="0.35">
      <c r="A496">
        <v>55.68</v>
      </c>
      <c r="B496">
        <v>4</v>
      </c>
      <c r="C496">
        <v>6.6400000000000001E-2</v>
      </c>
      <c r="D496">
        <v>59.31</v>
      </c>
      <c r="F496" s="7">
        <f t="shared" si="14"/>
        <v>207.93139199999999</v>
      </c>
      <c r="G496" s="8">
        <f t="shared" si="15"/>
        <v>74.098607999999999</v>
      </c>
      <c r="I496" t="str">
        <v>02-Feb</v>
      </c>
      <c r="L496" t="b">
        <v>0</v>
      </c>
      <c r="N496" t="b">
        <v>0</v>
      </c>
    </row>
    <row r="497" spans="1:14" x14ac:dyDescent="0.35">
      <c r="A497">
        <v>64.98</v>
      </c>
      <c r="B497">
        <v>3</v>
      </c>
      <c r="C497">
        <v>0.29410000000000003</v>
      </c>
      <c r="D497">
        <v>46.21</v>
      </c>
      <c r="F497" s="7">
        <f t="shared" si="14"/>
        <v>137.608146</v>
      </c>
      <c r="G497" s="8">
        <f t="shared" si="15"/>
        <v>103.541854</v>
      </c>
      <c r="I497" t="str">
        <v>10-Oct</v>
      </c>
      <c r="L497" t="b">
        <v>0</v>
      </c>
      <c r="N497" t="b">
        <v>0</v>
      </c>
    </row>
    <row r="498" spans="1:14" x14ac:dyDescent="0.35">
      <c r="A498">
        <v>465.69</v>
      </c>
      <c r="B498">
        <v>5</v>
      </c>
      <c r="C498">
        <v>0.4778</v>
      </c>
      <c r="D498">
        <v>45.65</v>
      </c>
      <c r="F498" s="7">
        <f t="shared" si="14"/>
        <v>1215.9165899999998</v>
      </c>
      <c r="G498" s="8">
        <f t="shared" si="15"/>
        <v>1158.1834100000001</v>
      </c>
      <c r="I498" t="str">
        <v>11-Nov</v>
      </c>
      <c r="L498" t="b">
        <v>0</v>
      </c>
      <c r="N498" t="b">
        <v>0</v>
      </c>
    </row>
    <row r="499" spans="1:14" x14ac:dyDescent="0.35">
      <c r="A499">
        <v>131.97</v>
      </c>
      <c r="B499">
        <v>3</v>
      </c>
      <c r="C499">
        <v>0.13150000000000001</v>
      </c>
      <c r="D499">
        <v>73.62</v>
      </c>
      <c r="F499" s="7">
        <f t="shared" si="14"/>
        <v>343.84783499999998</v>
      </c>
      <c r="G499" s="8">
        <f t="shared" si="15"/>
        <v>125.682165</v>
      </c>
      <c r="I499" t="str">
        <v>03-Mar</v>
      </c>
      <c r="L499" t="b">
        <v>0</v>
      </c>
      <c r="N499" t="b">
        <v>0</v>
      </c>
    </row>
    <row r="500" spans="1:14" x14ac:dyDescent="0.35">
      <c r="A500">
        <v>296.64</v>
      </c>
      <c r="B500">
        <v>5</v>
      </c>
      <c r="C500">
        <v>1.2800000000000001E-2</v>
      </c>
      <c r="D500">
        <v>16.38</v>
      </c>
      <c r="F500" s="7">
        <f t="shared" si="14"/>
        <v>1464.2150399999998</v>
      </c>
      <c r="G500" s="8">
        <f t="shared" si="15"/>
        <v>35.364959999999996</v>
      </c>
      <c r="I500" t="str">
        <v>09-Sep</v>
      </c>
      <c r="L500" t="b">
        <v>0</v>
      </c>
      <c r="N500" t="b">
        <v>0</v>
      </c>
    </row>
    <row r="501" spans="1:14" x14ac:dyDescent="0.35">
      <c r="A501">
        <v>66.27</v>
      </c>
      <c r="B501">
        <v>4</v>
      </c>
      <c r="C501">
        <v>0.32229999999999998</v>
      </c>
      <c r="D501">
        <v>71.260000000000005</v>
      </c>
      <c r="F501" s="7">
        <f t="shared" si="14"/>
        <v>179.64471599999999</v>
      </c>
      <c r="G501" s="8">
        <f t="shared" si="15"/>
        <v>156.69528399999999</v>
      </c>
      <c r="I501" t="str">
        <v>06-Jun</v>
      </c>
      <c r="L501" t="b">
        <v>0</v>
      </c>
      <c r="N501" t="b">
        <v>0</v>
      </c>
    </row>
    <row r="502" spans="1:14" x14ac:dyDescent="0.35">
      <c r="A502">
        <v>224.65</v>
      </c>
      <c r="B502">
        <v>3</v>
      </c>
      <c r="C502">
        <v>0.25540000000000002</v>
      </c>
      <c r="D502">
        <v>57.81</v>
      </c>
      <c r="F502" s="7">
        <f t="shared" si="14"/>
        <v>501.82317</v>
      </c>
      <c r="G502" s="8">
        <f t="shared" si="15"/>
        <v>229.93683000000001</v>
      </c>
      <c r="I502" t="str">
        <v>08-Aug</v>
      </c>
      <c r="L502" t="b">
        <v>0</v>
      </c>
      <c r="N502" t="b">
        <v>0</v>
      </c>
    </row>
    <row r="503" spans="1:14" x14ac:dyDescent="0.35">
      <c r="A503">
        <v>226.19</v>
      </c>
      <c r="B503">
        <v>5</v>
      </c>
      <c r="C503">
        <v>0.3669</v>
      </c>
      <c r="D503">
        <v>79.900000000000006</v>
      </c>
      <c r="F503" s="7">
        <f t="shared" si="14"/>
        <v>716.00444500000003</v>
      </c>
      <c r="G503" s="8">
        <f t="shared" si="15"/>
        <v>494.84555499999999</v>
      </c>
      <c r="I503" t="str">
        <v>11-Nov</v>
      </c>
      <c r="L503" t="b">
        <v>0</v>
      </c>
      <c r="N503" t="b">
        <v>0</v>
      </c>
    </row>
    <row r="504" spans="1:14" x14ac:dyDescent="0.35">
      <c r="A504">
        <v>62.67</v>
      </c>
      <c r="B504">
        <v>5</v>
      </c>
      <c r="C504">
        <v>0.31809999999999999</v>
      </c>
      <c r="D504">
        <v>48.06</v>
      </c>
      <c r="F504" s="7">
        <f t="shared" si="14"/>
        <v>213.67336499999999</v>
      </c>
      <c r="G504" s="8">
        <f t="shared" si="15"/>
        <v>147.73663500000001</v>
      </c>
      <c r="I504" t="str">
        <v>05-May</v>
      </c>
      <c r="L504" t="b">
        <v>0</v>
      </c>
      <c r="N504" t="b">
        <v>0</v>
      </c>
    </row>
    <row r="505" spans="1:14" x14ac:dyDescent="0.35">
      <c r="A505">
        <v>244.87</v>
      </c>
      <c r="B505">
        <v>5</v>
      </c>
      <c r="C505">
        <v>0.1263</v>
      </c>
      <c r="D505">
        <v>86.49</v>
      </c>
      <c r="F505" s="7">
        <f t="shared" si="14"/>
        <v>1069.7145949999999</v>
      </c>
      <c r="G505" s="8">
        <f t="shared" si="15"/>
        <v>241.125405</v>
      </c>
      <c r="I505" t="str">
        <v>04-Apr</v>
      </c>
      <c r="L505" t="b">
        <v>0</v>
      </c>
      <c r="N505" t="b">
        <v>0</v>
      </c>
    </row>
    <row r="506" spans="1:14" x14ac:dyDescent="0.35">
      <c r="A506">
        <v>161.66999999999999</v>
      </c>
      <c r="B506">
        <v>5</v>
      </c>
      <c r="C506">
        <v>2.4799999999999999E-2</v>
      </c>
      <c r="D506">
        <v>22.52</v>
      </c>
      <c r="F506" s="7">
        <f t="shared" si="14"/>
        <v>788.30291999999986</v>
      </c>
      <c r="G506" s="8">
        <f t="shared" si="15"/>
        <v>42.567079999999997</v>
      </c>
      <c r="I506" t="str">
        <v>01-Jan</v>
      </c>
      <c r="L506" t="b">
        <v>1</v>
      </c>
      <c r="N506" t="b">
        <v>0</v>
      </c>
    </row>
    <row r="507" spans="1:14" x14ac:dyDescent="0.35">
      <c r="A507">
        <v>446.87</v>
      </c>
      <c r="B507">
        <v>4</v>
      </c>
      <c r="C507">
        <v>0.25929999999999997</v>
      </c>
      <c r="D507">
        <v>55.99</v>
      </c>
      <c r="F507" s="7">
        <f t="shared" si="14"/>
        <v>1323.9864360000001</v>
      </c>
      <c r="G507" s="8">
        <f t="shared" si="15"/>
        <v>519.48356399999989</v>
      </c>
      <c r="I507" t="str">
        <v>02-Feb</v>
      </c>
      <c r="L507" t="b">
        <v>0</v>
      </c>
      <c r="N507" t="b">
        <v>0</v>
      </c>
    </row>
    <row r="508" spans="1:14" x14ac:dyDescent="0.35">
      <c r="A508">
        <v>395.54</v>
      </c>
      <c r="B508">
        <v>4</v>
      </c>
      <c r="C508">
        <v>0.23769999999999999</v>
      </c>
      <c r="D508">
        <v>17.57</v>
      </c>
      <c r="F508" s="7">
        <f t="shared" si="14"/>
        <v>1206.0805680000001</v>
      </c>
      <c r="G508" s="8">
        <f t="shared" si="15"/>
        <v>393.64943199999999</v>
      </c>
      <c r="I508" t="str">
        <v>08-Aug</v>
      </c>
      <c r="L508" t="b">
        <v>0</v>
      </c>
      <c r="N508" t="b">
        <v>0</v>
      </c>
    </row>
    <row r="509" spans="1:14" x14ac:dyDescent="0.35">
      <c r="A509">
        <v>343.68</v>
      </c>
      <c r="B509">
        <v>5</v>
      </c>
      <c r="C509">
        <v>0.47259999999999996</v>
      </c>
      <c r="D509">
        <v>36.54</v>
      </c>
      <c r="F509" s="7">
        <f t="shared" si="14"/>
        <v>906.28416000000016</v>
      </c>
      <c r="G509" s="8">
        <f t="shared" si="15"/>
        <v>848.6558399999999</v>
      </c>
      <c r="I509" t="str">
        <v>07-Jul</v>
      </c>
      <c r="L509" t="b">
        <v>0</v>
      </c>
      <c r="N509" t="b">
        <v>0</v>
      </c>
    </row>
    <row r="510" spans="1:14" x14ac:dyDescent="0.35">
      <c r="A510">
        <v>283.73</v>
      </c>
      <c r="B510">
        <v>4</v>
      </c>
      <c r="C510">
        <v>0.14699999999999999</v>
      </c>
      <c r="D510">
        <v>52.44</v>
      </c>
      <c r="F510" s="7">
        <f t="shared" si="14"/>
        <v>968.08676000000003</v>
      </c>
      <c r="G510" s="8">
        <f t="shared" si="15"/>
        <v>219.27323999999999</v>
      </c>
      <c r="I510" t="str">
        <v>09-Sep</v>
      </c>
      <c r="L510" t="b">
        <v>0</v>
      </c>
      <c r="N510" t="b">
        <v>0</v>
      </c>
    </row>
    <row r="511" spans="1:14" x14ac:dyDescent="0.35">
      <c r="A511">
        <v>424.75</v>
      </c>
      <c r="B511">
        <v>3</v>
      </c>
      <c r="C511">
        <v>0.43969999999999998</v>
      </c>
      <c r="D511">
        <v>42.55</v>
      </c>
      <c r="F511" s="7">
        <f t="shared" si="14"/>
        <v>713.96227499999998</v>
      </c>
      <c r="G511" s="8">
        <f t="shared" si="15"/>
        <v>602.83772499999998</v>
      </c>
      <c r="I511" t="str">
        <v>06-Jun</v>
      </c>
      <c r="L511" t="b">
        <v>0</v>
      </c>
      <c r="N511" t="b">
        <v>0</v>
      </c>
    </row>
    <row r="512" spans="1:14" x14ac:dyDescent="0.35">
      <c r="A512">
        <v>136.22</v>
      </c>
      <c r="B512">
        <v>3</v>
      </c>
      <c r="C512">
        <v>0.38819999999999999</v>
      </c>
      <c r="D512">
        <v>20.28</v>
      </c>
      <c r="F512" s="7">
        <f t="shared" si="14"/>
        <v>250.01818799999998</v>
      </c>
      <c r="G512" s="8">
        <f t="shared" si="15"/>
        <v>178.92181199999999</v>
      </c>
      <c r="I512" t="str">
        <v>06-Jun</v>
      </c>
      <c r="L512" t="b">
        <v>0</v>
      </c>
      <c r="N512" t="b">
        <v>0</v>
      </c>
    </row>
    <row r="513" spans="1:14" x14ac:dyDescent="0.35">
      <c r="A513">
        <v>369.28</v>
      </c>
      <c r="B513">
        <v>3</v>
      </c>
      <c r="C513">
        <v>9.6199999999999994E-2</v>
      </c>
      <c r="D513">
        <v>62.72</v>
      </c>
      <c r="F513" s="7">
        <f t="shared" si="14"/>
        <v>1001.265792</v>
      </c>
      <c r="G513" s="8">
        <f t="shared" si="15"/>
        <v>169.29420799999997</v>
      </c>
      <c r="I513" t="str">
        <v>05-May</v>
      </c>
      <c r="L513" t="b">
        <v>0</v>
      </c>
      <c r="N513" t="b">
        <v>0</v>
      </c>
    </row>
    <row r="514" spans="1:14" x14ac:dyDescent="0.35">
      <c r="A514">
        <v>232.56</v>
      </c>
      <c r="B514">
        <v>4</v>
      </c>
      <c r="C514">
        <v>7.0999999999999994E-2</v>
      </c>
      <c r="D514">
        <v>55.64</v>
      </c>
      <c r="F514" s="7">
        <f t="shared" si="14"/>
        <v>864.19296000000008</v>
      </c>
      <c r="G514" s="8">
        <f t="shared" si="15"/>
        <v>121.68704</v>
      </c>
      <c r="I514" t="str">
        <v>07-Jul</v>
      </c>
      <c r="L514" t="b">
        <v>0</v>
      </c>
      <c r="N514" t="b">
        <v>0</v>
      </c>
    </row>
    <row r="515" spans="1:14" x14ac:dyDescent="0.35">
      <c r="A515">
        <v>72.790000000000006</v>
      </c>
      <c r="B515">
        <v>4</v>
      </c>
      <c r="C515">
        <v>7.4900000000000008E-2</v>
      </c>
      <c r="D515">
        <v>53.38</v>
      </c>
      <c r="F515" s="7">
        <f t="shared" ref="F515:F578" si="16">($A515*$B515)*(1-$C515)</f>
        <v>269.35211600000002</v>
      </c>
      <c r="G515" s="8">
        <f t="shared" ref="G515:G578" si="17">D515+(A515*B515*C515)</f>
        <v>75.187884000000011</v>
      </c>
      <c r="I515" t="str">
        <v>06-Jun</v>
      </c>
      <c r="L515" t="b">
        <v>0</v>
      </c>
      <c r="N515" t="b">
        <v>0</v>
      </c>
    </row>
    <row r="516" spans="1:14" x14ac:dyDescent="0.35">
      <c r="A516">
        <v>194.29</v>
      </c>
      <c r="B516">
        <v>4</v>
      </c>
      <c r="C516">
        <v>0.1142</v>
      </c>
      <c r="D516">
        <v>36.409999999999997</v>
      </c>
      <c r="F516" s="7">
        <f t="shared" si="16"/>
        <v>688.40832799999998</v>
      </c>
      <c r="G516" s="8">
        <f t="shared" si="17"/>
        <v>125.161672</v>
      </c>
      <c r="I516" t="str">
        <v>12-Dec</v>
      </c>
      <c r="L516" t="b">
        <v>0</v>
      </c>
      <c r="N516" t="b">
        <v>0</v>
      </c>
    </row>
    <row r="517" spans="1:14" x14ac:dyDescent="0.35">
      <c r="A517">
        <v>456.73</v>
      </c>
      <c r="B517">
        <v>4</v>
      </c>
      <c r="C517">
        <v>0.42659999999999998</v>
      </c>
      <c r="D517">
        <v>81.96</v>
      </c>
      <c r="F517" s="7">
        <f t="shared" si="16"/>
        <v>1047.555928</v>
      </c>
      <c r="G517" s="8">
        <f t="shared" si="17"/>
        <v>861.324072</v>
      </c>
      <c r="I517" t="str">
        <v>04-Apr</v>
      </c>
      <c r="L517" t="b">
        <v>0</v>
      </c>
      <c r="N517" t="b">
        <v>0</v>
      </c>
    </row>
    <row r="518" spans="1:14" x14ac:dyDescent="0.35">
      <c r="A518">
        <v>359.92</v>
      </c>
      <c r="B518">
        <v>4</v>
      </c>
      <c r="C518">
        <v>0.41600000000000004</v>
      </c>
      <c r="D518">
        <v>44.28</v>
      </c>
      <c r="F518" s="7">
        <f t="shared" si="16"/>
        <v>840.77311999999995</v>
      </c>
      <c r="G518" s="8">
        <f t="shared" si="17"/>
        <v>643.18688000000009</v>
      </c>
      <c r="I518" t="str">
        <v>06-Jun</v>
      </c>
      <c r="L518" t="b">
        <v>0</v>
      </c>
      <c r="N518" t="b">
        <v>0</v>
      </c>
    </row>
    <row r="519" spans="1:14" x14ac:dyDescent="0.35">
      <c r="A519">
        <v>336.06</v>
      </c>
      <c r="B519">
        <v>4</v>
      </c>
      <c r="C519">
        <v>0.39329999999999998</v>
      </c>
      <c r="D519">
        <v>24.28</v>
      </c>
      <c r="F519" s="7">
        <f t="shared" si="16"/>
        <v>815.55040800000006</v>
      </c>
      <c r="G519" s="8">
        <f t="shared" si="17"/>
        <v>552.96959199999992</v>
      </c>
      <c r="I519" t="str">
        <v>10-Oct</v>
      </c>
      <c r="L519" t="b">
        <v>0</v>
      </c>
      <c r="N519" t="b">
        <v>0</v>
      </c>
    </row>
    <row r="520" spans="1:14" x14ac:dyDescent="0.35">
      <c r="A520">
        <v>347.81</v>
      </c>
      <c r="B520">
        <v>3</v>
      </c>
      <c r="C520">
        <v>0.48840000000000006</v>
      </c>
      <c r="D520">
        <v>39.11</v>
      </c>
      <c r="F520" s="7">
        <f t="shared" si="16"/>
        <v>533.81878799999993</v>
      </c>
      <c r="G520" s="8">
        <f t="shared" si="17"/>
        <v>548.72121200000004</v>
      </c>
      <c r="I520" t="str">
        <v>11-Nov</v>
      </c>
      <c r="L520" t="b">
        <v>0</v>
      </c>
      <c r="N520" t="b">
        <v>0</v>
      </c>
    </row>
    <row r="521" spans="1:14" x14ac:dyDescent="0.35">
      <c r="A521">
        <v>483.34</v>
      </c>
      <c r="B521">
        <v>3</v>
      </c>
      <c r="C521">
        <v>0.27179999999999999</v>
      </c>
      <c r="D521">
        <v>86.09</v>
      </c>
      <c r="F521" s="7">
        <f t="shared" si="16"/>
        <v>1055.9045639999999</v>
      </c>
      <c r="G521" s="8">
        <f t="shared" si="17"/>
        <v>480.20543599999996</v>
      </c>
      <c r="I521" t="str">
        <v>12-Dec</v>
      </c>
      <c r="L521" t="b">
        <v>0</v>
      </c>
      <c r="N521" t="b">
        <v>0</v>
      </c>
    </row>
    <row r="522" spans="1:14" x14ac:dyDescent="0.35">
      <c r="A522">
        <v>185.72</v>
      </c>
      <c r="B522">
        <v>4</v>
      </c>
      <c r="C522">
        <v>0.46350000000000002</v>
      </c>
      <c r="D522">
        <v>69.569999999999993</v>
      </c>
      <c r="F522" s="7">
        <f t="shared" si="16"/>
        <v>398.55511999999999</v>
      </c>
      <c r="G522" s="8">
        <f t="shared" si="17"/>
        <v>413.89488</v>
      </c>
      <c r="I522" t="str">
        <v>01-Jan</v>
      </c>
      <c r="L522" t="b">
        <v>1</v>
      </c>
      <c r="N522" t="b">
        <v>0</v>
      </c>
    </row>
    <row r="523" spans="1:14" x14ac:dyDescent="0.35">
      <c r="A523">
        <v>84.12</v>
      </c>
      <c r="B523">
        <v>3</v>
      </c>
      <c r="C523">
        <v>0.37549999999999994</v>
      </c>
      <c r="D523">
        <v>96.31</v>
      </c>
      <c r="F523" s="7">
        <f t="shared" si="16"/>
        <v>157.59882000000002</v>
      </c>
      <c r="G523" s="8">
        <f t="shared" si="17"/>
        <v>191.07118</v>
      </c>
      <c r="I523" t="str">
        <v>07-Jul</v>
      </c>
      <c r="L523" t="b">
        <v>0</v>
      </c>
      <c r="N523" t="b">
        <v>0</v>
      </c>
    </row>
    <row r="524" spans="1:14" x14ac:dyDescent="0.35">
      <c r="A524">
        <v>250.82</v>
      </c>
      <c r="B524">
        <v>3</v>
      </c>
      <c r="C524">
        <v>0.13449999999999998</v>
      </c>
      <c r="D524">
        <v>39.89</v>
      </c>
      <c r="F524" s="7">
        <f t="shared" si="16"/>
        <v>651.25413000000003</v>
      </c>
      <c r="G524" s="8">
        <f t="shared" si="17"/>
        <v>141.09586999999999</v>
      </c>
      <c r="I524" t="str">
        <v>01-Jan</v>
      </c>
      <c r="L524" t="b">
        <v>1</v>
      </c>
      <c r="N524" t="b">
        <v>0</v>
      </c>
    </row>
    <row r="525" spans="1:14" x14ac:dyDescent="0.35">
      <c r="A525">
        <v>288.32</v>
      </c>
      <c r="B525">
        <v>4</v>
      </c>
      <c r="C525">
        <v>0.28720000000000001</v>
      </c>
      <c r="D525">
        <v>39.5</v>
      </c>
      <c r="F525" s="7">
        <f t="shared" si="16"/>
        <v>822.05798399999992</v>
      </c>
      <c r="G525" s="8">
        <f t="shared" si="17"/>
        <v>370.722016</v>
      </c>
      <c r="I525" t="str">
        <v>08-Aug</v>
      </c>
      <c r="L525" t="b">
        <v>0</v>
      </c>
      <c r="N525" t="b">
        <v>0</v>
      </c>
    </row>
    <row r="526" spans="1:14" x14ac:dyDescent="0.35">
      <c r="A526">
        <v>390.96</v>
      </c>
      <c r="B526">
        <v>5</v>
      </c>
      <c r="C526">
        <v>0.18260000000000001</v>
      </c>
      <c r="D526">
        <v>25.48</v>
      </c>
      <c r="F526" s="7">
        <f t="shared" si="16"/>
        <v>1597.8535199999999</v>
      </c>
      <c r="G526" s="8">
        <f t="shared" si="17"/>
        <v>382.42648000000003</v>
      </c>
      <c r="I526" t="str">
        <v>09-Sep</v>
      </c>
      <c r="L526" t="b">
        <v>0</v>
      </c>
      <c r="N526" t="b">
        <v>0</v>
      </c>
    </row>
    <row r="527" spans="1:14" x14ac:dyDescent="0.35">
      <c r="A527">
        <v>362.07</v>
      </c>
      <c r="B527">
        <v>4</v>
      </c>
      <c r="C527">
        <v>0.28079999999999999</v>
      </c>
      <c r="D527">
        <v>93.54</v>
      </c>
      <c r="F527" s="7">
        <f t="shared" si="16"/>
        <v>1041.6029760000001</v>
      </c>
      <c r="G527" s="8">
        <f t="shared" si="17"/>
        <v>500.21702399999998</v>
      </c>
      <c r="I527" t="str">
        <v>01-Jan</v>
      </c>
      <c r="L527" t="b">
        <v>1</v>
      </c>
      <c r="N527" t="b">
        <v>0</v>
      </c>
    </row>
    <row r="528" spans="1:14" x14ac:dyDescent="0.35">
      <c r="A528">
        <v>413.67</v>
      </c>
      <c r="B528">
        <v>3</v>
      </c>
      <c r="C528">
        <v>0.10339999999999999</v>
      </c>
      <c r="D528">
        <v>76.19</v>
      </c>
      <c r="F528" s="7">
        <f t="shared" si="16"/>
        <v>1112.689566</v>
      </c>
      <c r="G528" s="8">
        <f t="shared" si="17"/>
        <v>204.51043399999998</v>
      </c>
      <c r="I528" t="str">
        <v>01-Jan</v>
      </c>
      <c r="L528" t="b">
        <v>1</v>
      </c>
      <c r="N528" t="b">
        <v>0</v>
      </c>
    </row>
    <row r="529" spans="1:14" x14ac:dyDescent="0.35">
      <c r="A529">
        <v>63.18</v>
      </c>
      <c r="B529">
        <v>3</v>
      </c>
      <c r="C529">
        <v>0.37689999999999996</v>
      </c>
      <c r="D529">
        <v>59.79</v>
      </c>
      <c r="F529" s="7">
        <f t="shared" si="16"/>
        <v>118.102374</v>
      </c>
      <c r="G529" s="8">
        <f t="shared" si="17"/>
        <v>131.22762599999999</v>
      </c>
      <c r="I529" t="str">
        <v>01-Jan</v>
      </c>
      <c r="L529" t="b">
        <v>1</v>
      </c>
      <c r="N529" t="b">
        <v>0</v>
      </c>
    </row>
    <row r="530" spans="1:14" x14ac:dyDescent="0.35">
      <c r="A530">
        <v>366.99</v>
      </c>
      <c r="B530">
        <v>3</v>
      </c>
      <c r="C530">
        <v>0.49540000000000001</v>
      </c>
      <c r="D530">
        <v>91.66</v>
      </c>
      <c r="F530" s="7">
        <f t="shared" si="16"/>
        <v>555.54946199999995</v>
      </c>
      <c r="G530" s="8">
        <f t="shared" si="17"/>
        <v>637.08053799999993</v>
      </c>
      <c r="I530" t="str">
        <v>12-Dec</v>
      </c>
      <c r="L530" t="b">
        <v>0</v>
      </c>
      <c r="N530" t="b">
        <v>0</v>
      </c>
    </row>
    <row r="531" spans="1:14" x14ac:dyDescent="0.35">
      <c r="A531">
        <v>289.58</v>
      </c>
      <c r="B531">
        <v>3</v>
      </c>
      <c r="C531">
        <v>0.2132</v>
      </c>
      <c r="D531">
        <v>47.35</v>
      </c>
      <c r="F531" s="7">
        <f t="shared" si="16"/>
        <v>683.524632</v>
      </c>
      <c r="G531" s="8">
        <f t="shared" si="17"/>
        <v>232.56536800000001</v>
      </c>
      <c r="I531" t="str">
        <v>09-Sep</v>
      </c>
      <c r="L531" t="b">
        <v>0</v>
      </c>
      <c r="N531" t="b">
        <v>0</v>
      </c>
    </row>
    <row r="532" spans="1:14" x14ac:dyDescent="0.35">
      <c r="A532">
        <v>265.77</v>
      </c>
      <c r="B532">
        <v>4</v>
      </c>
      <c r="C532">
        <v>0.17780000000000001</v>
      </c>
      <c r="D532">
        <v>72.59</v>
      </c>
      <c r="F532" s="7">
        <f t="shared" si="16"/>
        <v>874.06437600000004</v>
      </c>
      <c r="G532" s="8">
        <f t="shared" si="17"/>
        <v>261.60562400000003</v>
      </c>
      <c r="I532" t="str">
        <v>09-Sep</v>
      </c>
      <c r="L532" t="b">
        <v>0</v>
      </c>
      <c r="N532" t="b">
        <v>0</v>
      </c>
    </row>
    <row r="533" spans="1:14" x14ac:dyDescent="0.35">
      <c r="A533">
        <v>191.39</v>
      </c>
      <c r="B533">
        <v>3</v>
      </c>
      <c r="C533">
        <v>0.34130000000000005</v>
      </c>
      <c r="D533">
        <v>17.5</v>
      </c>
      <c r="F533" s="7">
        <f t="shared" si="16"/>
        <v>378.20577899999995</v>
      </c>
      <c r="G533" s="8">
        <f t="shared" si="17"/>
        <v>213.46422100000001</v>
      </c>
      <c r="I533" t="str">
        <v>06-Jun</v>
      </c>
      <c r="L533" t="b">
        <v>0</v>
      </c>
      <c r="N533" t="b">
        <v>0</v>
      </c>
    </row>
    <row r="534" spans="1:14" x14ac:dyDescent="0.35">
      <c r="A534">
        <v>407.98</v>
      </c>
      <c r="B534">
        <v>4</v>
      </c>
      <c r="C534">
        <v>0.43079999999999996</v>
      </c>
      <c r="D534">
        <v>97.1</v>
      </c>
      <c r="F534" s="7">
        <f t="shared" si="16"/>
        <v>928.88886400000013</v>
      </c>
      <c r="G534" s="8">
        <f t="shared" si="17"/>
        <v>800.13113599999997</v>
      </c>
      <c r="I534" t="str">
        <v>03-Mar</v>
      </c>
      <c r="L534" t="b">
        <v>0</v>
      </c>
      <c r="N534" t="b">
        <v>0</v>
      </c>
    </row>
    <row r="535" spans="1:14" x14ac:dyDescent="0.35">
      <c r="A535">
        <v>74.040000000000006</v>
      </c>
      <c r="B535">
        <v>5</v>
      </c>
      <c r="C535">
        <v>9.7899999999999987E-2</v>
      </c>
      <c r="D535">
        <v>66.989999999999995</v>
      </c>
      <c r="F535" s="7">
        <f t="shared" si="16"/>
        <v>333.95742000000007</v>
      </c>
      <c r="G535" s="8">
        <f t="shared" si="17"/>
        <v>103.23257999999998</v>
      </c>
      <c r="I535" t="str">
        <v>01-Jan</v>
      </c>
      <c r="L535" t="b">
        <v>1</v>
      </c>
      <c r="N535" t="b">
        <v>0</v>
      </c>
    </row>
    <row r="536" spans="1:14" x14ac:dyDescent="0.35">
      <c r="A536">
        <v>206.36</v>
      </c>
      <c r="B536">
        <v>4</v>
      </c>
      <c r="C536">
        <v>0.46240000000000003</v>
      </c>
      <c r="D536">
        <v>81.510000000000005</v>
      </c>
      <c r="F536" s="7">
        <f t="shared" si="16"/>
        <v>443.75654400000002</v>
      </c>
      <c r="G536" s="8">
        <f t="shared" si="17"/>
        <v>463.19345600000003</v>
      </c>
      <c r="I536" t="str">
        <v>11-Nov</v>
      </c>
      <c r="L536" t="b">
        <v>0</v>
      </c>
      <c r="N536" t="b">
        <v>0</v>
      </c>
    </row>
    <row r="537" spans="1:14" x14ac:dyDescent="0.35">
      <c r="A537">
        <v>237.39</v>
      </c>
      <c r="B537">
        <v>3</v>
      </c>
      <c r="C537">
        <v>0.27550000000000002</v>
      </c>
      <c r="D537">
        <v>18.07</v>
      </c>
      <c r="F537" s="7">
        <f t="shared" si="16"/>
        <v>515.96716499999991</v>
      </c>
      <c r="G537" s="8">
        <f t="shared" si="17"/>
        <v>214.27283499999999</v>
      </c>
      <c r="I537" t="str">
        <v>01-Jan</v>
      </c>
      <c r="L537" t="b">
        <v>1</v>
      </c>
      <c r="N537" t="b">
        <v>0</v>
      </c>
    </row>
    <row r="538" spans="1:14" x14ac:dyDescent="0.35">
      <c r="A538">
        <v>173.13</v>
      </c>
      <c r="B538">
        <v>4</v>
      </c>
      <c r="C538">
        <v>0.44540000000000002</v>
      </c>
      <c r="D538">
        <v>26.95</v>
      </c>
      <c r="F538" s="7">
        <f t="shared" si="16"/>
        <v>384.07159199999995</v>
      </c>
      <c r="G538" s="8">
        <f t="shared" si="17"/>
        <v>335.39840800000002</v>
      </c>
      <c r="I538" t="str">
        <v>11-Nov</v>
      </c>
      <c r="L538" t="b">
        <v>0</v>
      </c>
      <c r="N538" t="b">
        <v>0</v>
      </c>
    </row>
    <row r="539" spans="1:14" x14ac:dyDescent="0.35">
      <c r="A539">
        <v>156.96</v>
      </c>
      <c r="B539">
        <v>5</v>
      </c>
      <c r="C539">
        <v>0.1827</v>
      </c>
      <c r="D539">
        <v>20.23</v>
      </c>
      <c r="F539" s="7">
        <f t="shared" si="16"/>
        <v>641.41704000000004</v>
      </c>
      <c r="G539" s="8">
        <f t="shared" si="17"/>
        <v>163.61296000000002</v>
      </c>
      <c r="I539" t="str">
        <v>05-May</v>
      </c>
      <c r="L539" t="b">
        <v>0</v>
      </c>
      <c r="N539" t="b">
        <v>0</v>
      </c>
    </row>
    <row r="540" spans="1:14" x14ac:dyDescent="0.35">
      <c r="A540">
        <v>378.51</v>
      </c>
      <c r="B540">
        <v>4</v>
      </c>
      <c r="C540">
        <v>0.46240000000000003</v>
      </c>
      <c r="D540">
        <v>33.1</v>
      </c>
      <c r="F540" s="7">
        <f t="shared" si="16"/>
        <v>813.94790399999988</v>
      </c>
      <c r="G540" s="8">
        <f t="shared" si="17"/>
        <v>733.19209600000011</v>
      </c>
      <c r="I540" t="str">
        <v>08-Aug</v>
      </c>
      <c r="L540" t="b">
        <v>0</v>
      </c>
      <c r="N540" t="b">
        <v>0</v>
      </c>
    </row>
    <row r="541" spans="1:14" x14ac:dyDescent="0.35">
      <c r="A541">
        <v>472.1</v>
      </c>
      <c r="B541">
        <v>4</v>
      </c>
      <c r="C541">
        <v>0.43090000000000006</v>
      </c>
      <c r="D541">
        <v>55.02</v>
      </c>
      <c r="F541" s="7">
        <f t="shared" si="16"/>
        <v>1074.6884399999999</v>
      </c>
      <c r="G541" s="8">
        <f t="shared" si="17"/>
        <v>868.73156000000017</v>
      </c>
      <c r="I541" t="str">
        <v>05-May</v>
      </c>
      <c r="L541" t="b">
        <v>0</v>
      </c>
      <c r="N541" t="b">
        <v>0</v>
      </c>
    </row>
    <row r="542" spans="1:14" x14ac:dyDescent="0.35">
      <c r="A542">
        <v>215.02</v>
      </c>
      <c r="B542">
        <v>5</v>
      </c>
      <c r="C542">
        <v>0.41759999999999997</v>
      </c>
      <c r="D542">
        <v>98.49</v>
      </c>
      <c r="F542" s="7">
        <f t="shared" si="16"/>
        <v>626.13824000000011</v>
      </c>
      <c r="G542" s="8">
        <f t="shared" si="17"/>
        <v>547.45176000000004</v>
      </c>
      <c r="I542" t="str">
        <v>01-Jan</v>
      </c>
      <c r="L542" t="b">
        <v>1</v>
      </c>
      <c r="N542" t="b">
        <v>0</v>
      </c>
    </row>
    <row r="543" spans="1:14" x14ac:dyDescent="0.35">
      <c r="A543">
        <v>390.51</v>
      </c>
      <c r="B543">
        <v>5</v>
      </c>
      <c r="C543">
        <v>1.8600000000000002E-2</v>
      </c>
      <c r="D543">
        <v>15.19</v>
      </c>
      <c r="F543" s="7">
        <f t="shared" si="16"/>
        <v>1916.2325700000001</v>
      </c>
      <c r="G543" s="8">
        <f t="shared" si="17"/>
        <v>51.507429999999999</v>
      </c>
      <c r="I543" t="str">
        <v>03-Mar</v>
      </c>
      <c r="L543" t="b">
        <v>0</v>
      </c>
      <c r="N543" t="b">
        <v>0</v>
      </c>
    </row>
    <row r="544" spans="1:14" x14ac:dyDescent="0.35">
      <c r="A544">
        <v>100.64</v>
      </c>
      <c r="B544">
        <v>3</v>
      </c>
      <c r="C544">
        <v>8.2400000000000001E-2</v>
      </c>
      <c r="D544">
        <v>29.05</v>
      </c>
      <c r="F544" s="7">
        <f t="shared" si="16"/>
        <v>277.04179199999999</v>
      </c>
      <c r="G544" s="8">
        <f t="shared" si="17"/>
        <v>53.928207999999998</v>
      </c>
      <c r="I544" t="str">
        <v>08-Aug</v>
      </c>
      <c r="L544" t="b">
        <v>0</v>
      </c>
      <c r="N544" t="b">
        <v>0</v>
      </c>
    </row>
    <row r="545" spans="1:14" x14ac:dyDescent="0.35">
      <c r="A545">
        <v>93.18</v>
      </c>
      <c r="B545">
        <v>4</v>
      </c>
      <c r="C545">
        <v>0.22789999999999999</v>
      </c>
      <c r="D545">
        <v>17.899999999999999</v>
      </c>
      <c r="F545" s="7">
        <f t="shared" si="16"/>
        <v>287.77711200000005</v>
      </c>
      <c r="G545" s="8">
        <f t="shared" si="17"/>
        <v>102.84288799999999</v>
      </c>
      <c r="I545" t="str">
        <v>02-Feb</v>
      </c>
      <c r="L545" t="b">
        <v>0</v>
      </c>
      <c r="N545" t="b">
        <v>0</v>
      </c>
    </row>
    <row r="546" spans="1:14" x14ac:dyDescent="0.35">
      <c r="A546">
        <v>185.94</v>
      </c>
      <c r="B546">
        <v>3</v>
      </c>
      <c r="C546">
        <v>0.32409999999999994</v>
      </c>
      <c r="D546">
        <v>32.6</v>
      </c>
      <c r="F546" s="7">
        <f t="shared" si="16"/>
        <v>377.03053799999998</v>
      </c>
      <c r="G546" s="8">
        <f t="shared" si="17"/>
        <v>213.38946199999995</v>
      </c>
      <c r="I546" t="str">
        <v>05-May</v>
      </c>
      <c r="L546" t="b">
        <v>0</v>
      </c>
      <c r="N546" t="b">
        <v>0</v>
      </c>
    </row>
    <row r="547" spans="1:14" x14ac:dyDescent="0.35">
      <c r="A547">
        <v>129.65</v>
      </c>
      <c r="B547">
        <v>5</v>
      </c>
      <c r="C547">
        <v>0.13500000000000001</v>
      </c>
      <c r="D547">
        <v>28.94</v>
      </c>
      <c r="F547" s="7">
        <f t="shared" si="16"/>
        <v>560.73625000000004</v>
      </c>
      <c r="G547" s="8">
        <f t="shared" si="17"/>
        <v>116.45375</v>
      </c>
      <c r="I547" t="str">
        <v>09-Sep</v>
      </c>
      <c r="L547" t="b">
        <v>0</v>
      </c>
      <c r="N547" t="b">
        <v>0</v>
      </c>
    </row>
    <row r="548" spans="1:14" x14ac:dyDescent="0.35">
      <c r="A548">
        <v>465.08</v>
      </c>
      <c r="B548">
        <v>4</v>
      </c>
      <c r="C548">
        <v>0.30049999999999999</v>
      </c>
      <c r="D548">
        <v>66.319999999999993</v>
      </c>
      <c r="F548" s="7">
        <f t="shared" si="16"/>
        <v>1301.29384</v>
      </c>
      <c r="G548" s="8">
        <f t="shared" si="17"/>
        <v>625.34616000000005</v>
      </c>
      <c r="I548" t="str">
        <v>01-Jan</v>
      </c>
      <c r="L548" t="b">
        <v>1</v>
      </c>
      <c r="N548" t="b">
        <v>0</v>
      </c>
    </row>
    <row r="549" spans="1:14" x14ac:dyDescent="0.35">
      <c r="A549">
        <v>414.2</v>
      </c>
      <c r="B549">
        <v>3</v>
      </c>
      <c r="C549">
        <v>0.2177</v>
      </c>
      <c r="D549">
        <v>33.5</v>
      </c>
      <c r="F549" s="7">
        <f t="shared" si="16"/>
        <v>972.08597999999995</v>
      </c>
      <c r="G549" s="8">
        <f t="shared" si="17"/>
        <v>304.01401999999996</v>
      </c>
      <c r="I549" t="str">
        <v>03-Mar</v>
      </c>
      <c r="L549" t="b">
        <v>0</v>
      </c>
      <c r="N549" t="b">
        <v>0</v>
      </c>
    </row>
    <row r="550" spans="1:14" x14ac:dyDescent="0.35">
      <c r="A550">
        <v>61.86</v>
      </c>
      <c r="B550">
        <v>3</v>
      </c>
      <c r="C550">
        <v>0.21170000000000003</v>
      </c>
      <c r="D550">
        <v>45.57</v>
      </c>
      <c r="F550" s="7">
        <f t="shared" si="16"/>
        <v>146.29271399999999</v>
      </c>
      <c r="G550" s="8">
        <f t="shared" si="17"/>
        <v>84.857286000000002</v>
      </c>
      <c r="I550" t="str">
        <v>10-Oct</v>
      </c>
      <c r="L550" t="b">
        <v>0</v>
      </c>
      <c r="N550" t="b">
        <v>0</v>
      </c>
    </row>
    <row r="551" spans="1:14" x14ac:dyDescent="0.35">
      <c r="A551">
        <v>192.84</v>
      </c>
      <c r="B551">
        <v>5</v>
      </c>
      <c r="C551">
        <v>0.21789999999999998</v>
      </c>
      <c r="D551">
        <v>65.42</v>
      </c>
      <c r="F551" s="7">
        <f t="shared" si="16"/>
        <v>754.10082</v>
      </c>
      <c r="G551" s="8">
        <f t="shared" si="17"/>
        <v>275.51918000000001</v>
      </c>
      <c r="I551" t="str">
        <v>10-Oct</v>
      </c>
      <c r="L551" t="b">
        <v>0</v>
      </c>
      <c r="N551" t="b">
        <v>0</v>
      </c>
    </row>
    <row r="552" spans="1:14" x14ac:dyDescent="0.35">
      <c r="A552">
        <v>204.57</v>
      </c>
      <c r="B552">
        <v>5</v>
      </c>
      <c r="C552">
        <v>0.43390000000000001</v>
      </c>
      <c r="D552">
        <v>63.56</v>
      </c>
      <c r="F552" s="7">
        <f t="shared" si="16"/>
        <v>579.03538500000002</v>
      </c>
      <c r="G552" s="8">
        <f t="shared" si="17"/>
        <v>507.37461499999995</v>
      </c>
      <c r="I552" t="str">
        <v>05-May</v>
      </c>
      <c r="L552" t="b">
        <v>0</v>
      </c>
      <c r="N552" t="b">
        <v>0</v>
      </c>
    </row>
    <row r="553" spans="1:14" x14ac:dyDescent="0.35">
      <c r="A553">
        <v>284.02</v>
      </c>
      <c r="B553">
        <v>5</v>
      </c>
      <c r="C553">
        <v>0.40670000000000001</v>
      </c>
      <c r="D553">
        <v>76.77</v>
      </c>
      <c r="F553" s="7">
        <f t="shared" si="16"/>
        <v>842.54532999999981</v>
      </c>
      <c r="G553" s="8">
        <f t="shared" si="17"/>
        <v>654.32466999999997</v>
      </c>
      <c r="I553" t="str">
        <v>06-Jun</v>
      </c>
      <c r="L553" t="b">
        <v>0</v>
      </c>
      <c r="N553" t="b">
        <v>0</v>
      </c>
    </row>
    <row r="554" spans="1:14" x14ac:dyDescent="0.35">
      <c r="A554">
        <v>61.49</v>
      </c>
      <c r="B554">
        <v>4</v>
      </c>
      <c r="C554">
        <v>0.28710000000000002</v>
      </c>
      <c r="D554">
        <v>49.23</v>
      </c>
      <c r="F554" s="7">
        <f t="shared" si="16"/>
        <v>175.34488400000001</v>
      </c>
      <c r="G554" s="8">
        <f t="shared" si="17"/>
        <v>119.84511600000002</v>
      </c>
      <c r="I554" t="str">
        <v>04-Apr</v>
      </c>
      <c r="L554" t="b">
        <v>0</v>
      </c>
      <c r="N554" t="b">
        <v>0</v>
      </c>
    </row>
    <row r="555" spans="1:14" x14ac:dyDescent="0.35">
      <c r="A555">
        <v>285.64</v>
      </c>
      <c r="B555">
        <v>5</v>
      </c>
      <c r="C555">
        <v>0.36990000000000001</v>
      </c>
      <c r="D555">
        <v>41.69</v>
      </c>
      <c r="F555" s="7">
        <f t="shared" si="16"/>
        <v>899.90881999999988</v>
      </c>
      <c r="G555" s="8">
        <f t="shared" si="17"/>
        <v>569.98117999999999</v>
      </c>
      <c r="I555" t="str">
        <v>02-Feb</v>
      </c>
      <c r="L555" t="b">
        <v>0</v>
      </c>
      <c r="N555" t="b">
        <v>0</v>
      </c>
    </row>
    <row r="556" spans="1:14" x14ac:dyDescent="0.35">
      <c r="A556">
        <v>472.25</v>
      </c>
      <c r="B556">
        <v>4</v>
      </c>
      <c r="C556">
        <v>0.32469999999999999</v>
      </c>
      <c r="D556">
        <v>52.82</v>
      </c>
      <c r="F556" s="7">
        <f t="shared" si="16"/>
        <v>1275.6417000000001</v>
      </c>
      <c r="G556" s="8">
        <f t="shared" si="17"/>
        <v>666.17830000000004</v>
      </c>
      <c r="I556" t="str">
        <v>03-Mar</v>
      </c>
      <c r="L556" t="b">
        <v>0</v>
      </c>
      <c r="N556" t="b">
        <v>0</v>
      </c>
    </row>
    <row r="557" spans="1:14" x14ac:dyDescent="0.35">
      <c r="A557">
        <v>94.75</v>
      </c>
      <c r="B557">
        <v>4</v>
      </c>
      <c r="C557">
        <v>0.32990000000000003</v>
      </c>
      <c r="D557">
        <v>76</v>
      </c>
      <c r="F557" s="7">
        <f t="shared" si="16"/>
        <v>253.96789999999996</v>
      </c>
      <c r="G557" s="8">
        <f t="shared" si="17"/>
        <v>201.03210000000001</v>
      </c>
      <c r="I557" t="str">
        <v>08-Aug</v>
      </c>
      <c r="L557" t="b">
        <v>0</v>
      </c>
      <c r="N557" t="b">
        <v>0</v>
      </c>
    </row>
    <row r="558" spans="1:14" x14ac:dyDescent="0.35">
      <c r="A558">
        <v>145.59</v>
      </c>
      <c r="B558">
        <v>4</v>
      </c>
      <c r="C558">
        <v>0.20829999999999999</v>
      </c>
      <c r="D558">
        <v>52.85</v>
      </c>
      <c r="F558" s="7">
        <f t="shared" si="16"/>
        <v>461.05441200000007</v>
      </c>
      <c r="G558" s="8">
        <f t="shared" si="17"/>
        <v>174.15558799999999</v>
      </c>
      <c r="I558" t="str">
        <v>10-Oct</v>
      </c>
      <c r="L558" t="b">
        <v>0</v>
      </c>
      <c r="N558" t="b">
        <v>0</v>
      </c>
    </row>
    <row r="559" spans="1:14" x14ac:dyDescent="0.35">
      <c r="A559">
        <v>184.6</v>
      </c>
      <c r="B559">
        <v>4</v>
      </c>
      <c r="C559">
        <v>0.41639999999999999</v>
      </c>
      <c r="D559">
        <v>47.29</v>
      </c>
      <c r="F559" s="7">
        <f t="shared" si="16"/>
        <v>430.93023999999997</v>
      </c>
      <c r="G559" s="8">
        <f t="shared" si="17"/>
        <v>354.75976000000003</v>
      </c>
      <c r="I559" t="str">
        <v>01-Jan</v>
      </c>
      <c r="L559" t="b">
        <v>1</v>
      </c>
      <c r="N559" t="b">
        <v>0</v>
      </c>
    </row>
    <row r="560" spans="1:14" x14ac:dyDescent="0.35">
      <c r="A560">
        <v>251.04</v>
      </c>
      <c r="B560">
        <v>4</v>
      </c>
      <c r="C560">
        <v>0.40529999999999999</v>
      </c>
      <c r="D560">
        <v>19.399999999999999</v>
      </c>
      <c r="F560" s="7">
        <f t="shared" si="16"/>
        <v>597.17395199999999</v>
      </c>
      <c r="G560" s="8">
        <f t="shared" si="17"/>
        <v>426.38604799999996</v>
      </c>
      <c r="I560" t="str">
        <v>05-May</v>
      </c>
      <c r="L560" t="b">
        <v>0</v>
      </c>
      <c r="N560" t="b">
        <v>0</v>
      </c>
    </row>
    <row r="561" spans="1:14" x14ac:dyDescent="0.35">
      <c r="A561">
        <v>308.57</v>
      </c>
      <c r="B561">
        <v>4</v>
      </c>
      <c r="C561">
        <v>8.9200000000000002E-2</v>
      </c>
      <c r="D561">
        <v>94.39</v>
      </c>
      <c r="F561" s="7">
        <f t="shared" si="16"/>
        <v>1124.1822240000001</v>
      </c>
      <c r="G561" s="8">
        <f t="shared" si="17"/>
        <v>204.487776</v>
      </c>
      <c r="I561" t="str">
        <v>02-Feb</v>
      </c>
      <c r="L561" t="b">
        <v>0</v>
      </c>
      <c r="N561" t="b">
        <v>0</v>
      </c>
    </row>
    <row r="562" spans="1:14" x14ac:dyDescent="0.35">
      <c r="A562">
        <v>425.69</v>
      </c>
      <c r="B562">
        <v>4</v>
      </c>
      <c r="C562">
        <v>0.46679999999999999</v>
      </c>
      <c r="D562">
        <v>43.88</v>
      </c>
      <c r="F562" s="7">
        <f t="shared" si="16"/>
        <v>907.91163200000005</v>
      </c>
      <c r="G562" s="8">
        <f t="shared" si="17"/>
        <v>838.72836799999993</v>
      </c>
      <c r="I562" t="str">
        <v>01-Jan</v>
      </c>
      <c r="L562" t="b">
        <v>1</v>
      </c>
      <c r="N562" t="b">
        <v>0</v>
      </c>
    </row>
    <row r="563" spans="1:14" x14ac:dyDescent="0.35">
      <c r="A563">
        <v>286.48</v>
      </c>
      <c r="B563">
        <v>3</v>
      </c>
      <c r="C563">
        <v>0.35119999999999996</v>
      </c>
      <c r="D563">
        <v>48.49</v>
      </c>
      <c r="F563" s="7">
        <f t="shared" si="16"/>
        <v>557.60467200000005</v>
      </c>
      <c r="G563" s="8">
        <f t="shared" si="17"/>
        <v>350.32532800000001</v>
      </c>
      <c r="I563" t="str">
        <v>08-Aug</v>
      </c>
      <c r="L563" t="b">
        <v>0</v>
      </c>
      <c r="N563" t="b">
        <v>0</v>
      </c>
    </row>
    <row r="564" spans="1:14" x14ac:dyDescent="0.35">
      <c r="A564">
        <v>499.21</v>
      </c>
      <c r="B564">
        <v>4</v>
      </c>
      <c r="C564">
        <v>0.22899999999999998</v>
      </c>
      <c r="D564">
        <v>34.159999999999997</v>
      </c>
      <c r="F564" s="7">
        <f t="shared" si="16"/>
        <v>1539.5636400000001</v>
      </c>
      <c r="G564" s="8">
        <f t="shared" si="17"/>
        <v>491.43635999999992</v>
      </c>
      <c r="I564" t="str">
        <v>01-Jan</v>
      </c>
      <c r="L564" t="b">
        <v>1</v>
      </c>
      <c r="N564" t="b">
        <v>0</v>
      </c>
    </row>
    <row r="565" spans="1:14" x14ac:dyDescent="0.35">
      <c r="A565">
        <v>108.77</v>
      </c>
      <c r="B565">
        <v>4</v>
      </c>
      <c r="C565">
        <v>0.28370000000000001</v>
      </c>
      <c r="D565">
        <v>26.52</v>
      </c>
      <c r="F565" s="7">
        <f t="shared" si="16"/>
        <v>311.64780399999995</v>
      </c>
      <c r="G565" s="8">
        <f t="shared" si="17"/>
        <v>149.95219600000001</v>
      </c>
      <c r="I565" t="str">
        <v>10-Oct</v>
      </c>
      <c r="L565" t="b">
        <v>0</v>
      </c>
      <c r="N565" t="b">
        <v>0</v>
      </c>
    </row>
    <row r="566" spans="1:14" x14ac:dyDescent="0.35">
      <c r="A566">
        <v>148.18</v>
      </c>
      <c r="B566">
        <v>5</v>
      </c>
      <c r="C566">
        <v>0.24960000000000002</v>
      </c>
      <c r="D566">
        <v>79.739999999999995</v>
      </c>
      <c r="F566" s="7">
        <f t="shared" si="16"/>
        <v>555.97136</v>
      </c>
      <c r="G566" s="8">
        <f t="shared" si="17"/>
        <v>264.66864000000004</v>
      </c>
      <c r="I566" t="str">
        <v>11-Nov</v>
      </c>
      <c r="L566" t="b">
        <v>0</v>
      </c>
      <c r="N566" t="b">
        <v>0</v>
      </c>
    </row>
    <row r="567" spans="1:14" x14ac:dyDescent="0.35">
      <c r="A567">
        <v>240.69</v>
      </c>
      <c r="B567">
        <v>5</v>
      </c>
      <c r="C567">
        <v>0.23769999999999999</v>
      </c>
      <c r="D567">
        <v>17.420000000000002</v>
      </c>
      <c r="F567" s="7">
        <f t="shared" si="16"/>
        <v>917.38993500000004</v>
      </c>
      <c r="G567" s="8">
        <f t="shared" si="17"/>
        <v>303.48006500000002</v>
      </c>
      <c r="I567" t="str">
        <v>09-Sep</v>
      </c>
      <c r="L567" t="b">
        <v>0</v>
      </c>
      <c r="N567" t="b">
        <v>0</v>
      </c>
    </row>
    <row r="568" spans="1:14" x14ac:dyDescent="0.35">
      <c r="A568">
        <v>272.58999999999997</v>
      </c>
      <c r="B568">
        <v>3</v>
      </c>
      <c r="C568">
        <v>0.37040000000000001</v>
      </c>
      <c r="D568">
        <v>88.73</v>
      </c>
      <c r="F568" s="7">
        <f t="shared" si="16"/>
        <v>514.86799199999996</v>
      </c>
      <c r="G568" s="8">
        <f t="shared" si="17"/>
        <v>391.63200800000004</v>
      </c>
      <c r="I568" t="str">
        <v>11-Nov</v>
      </c>
      <c r="L568" t="b">
        <v>0</v>
      </c>
      <c r="N568" t="b">
        <v>0</v>
      </c>
    </row>
    <row r="569" spans="1:14" x14ac:dyDescent="0.35">
      <c r="A569">
        <v>362.96</v>
      </c>
      <c r="B569">
        <v>5</v>
      </c>
      <c r="C569">
        <v>0.43880000000000002</v>
      </c>
      <c r="D569">
        <v>55.34</v>
      </c>
      <c r="F569" s="7">
        <f t="shared" si="16"/>
        <v>1018.4657599999998</v>
      </c>
      <c r="G569" s="8">
        <f t="shared" si="17"/>
        <v>851.67424000000005</v>
      </c>
      <c r="I569" t="str">
        <v>09-Sep</v>
      </c>
      <c r="L569" t="b">
        <v>0</v>
      </c>
      <c r="N569" t="b">
        <v>0</v>
      </c>
    </row>
    <row r="570" spans="1:14" x14ac:dyDescent="0.35">
      <c r="A570">
        <v>363.15</v>
      </c>
      <c r="B570">
        <v>4</v>
      </c>
      <c r="C570">
        <v>0.28210000000000002</v>
      </c>
      <c r="D570">
        <v>69.37</v>
      </c>
      <c r="F570" s="7">
        <f t="shared" si="16"/>
        <v>1042.8215399999999</v>
      </c>
      <c r="G570" s="8">
        <f t="shared" si="17"/>
        <v>479.14846</v>
      </c>
      <c r="I570" t="str">
        <v>03-Mar</v>
      </c>
      <c r="L570" t="b">
        <v>0</v>
      </c>
      <c r="N570" t="b">
        <v>0</v>
      </c>
    </row>
    <row r="571" spans="1:14" x14ac:dyDescent="0.35">
      <c r="A571">
        <v>253.43</v>
      </c>
      <c r="B571">
        <v>4</v>
      </c>
      <c r="C571">
        <v>0.44549999999999995</v>
      </c>
      <c r="D571">
        <v>21.36</v>
      </c>
      <c r="F571" s="7">
        <f t="shared" si="16"/>
        <v>562.10774000000004</v>
      </c>
      <c r="G571" s="8">
        <f t="shared" si="17"/>
        <v>472.97225999999995</v>
      </c>
      <c r="I571" t="str">
        <v>06-Jun</v>
      </c>
      <c r="L571" t="b">
        <v>0</v>
      </c>
      <c r="N571" t="b">
        <v>0</v>
      </c>
    </row>
    <row r="572" spans="1:14" x14ac:dyDescent="0.35">
      <c r="A572">
        <v>150.27000000000001</v>
      </c>
      <c r="B572">
        <v>5</v>
      </c>
      <c r="C572">
        <v>9.3599999999999989E-2</v>
      </c>
      <c r="D572">
        <v>31.78</v>
      </c>
      <c r="F572" s="7">
        <f t="shared" si="16"/>
        <v>681.02364</v>
      </c>
      <c r="G572" s="8">
        <f t="shared" si="17"/>
        <v>102.10636</v>
      </c>
      <c r="I572" t="str">
        <v>04-Apr</v>
      </c>
      <c r="L572" t="b">
        <v>0</v>
      </c>
      <c r="N572" t="b">
        <v>0</v>
      </c>
    </row>
    <row r="573" spans="1:14" x14ac:dyDescent="0.35">
      <c r="A573">
        <v>450.87</v>
      </c>
      <c r="B573">
        <v>3</v>
      </c>
      <c r="C573">
        <v>0.32619999999999999</v>
      </c>
      <c r="D573">
        <v>52.14</v>
      </c>
      <c r="F573" s="7">
        <f t="shared" si="16"/>
        <v>911.38861800000006</v>
      </c>
      <c r="G573" s="8">
        <f t="shared" si="17"/>
        <v>493.36138199999999</v>
      </c>
      <c r="I573" t="str">
        <v>02-Feb</v>
      </c>
      <c r="L573" t="b">
        <v>0</v>
      </c>
      <c r="N573" t="b">
        <v>0</v>
      </c>
    </row>
    <row r="574" spans="1:14" x14ac:dyDescent="0.35">
      <c r="A574">
        <v>149.11000000000001</v>
      </c>
      <c r="B574">
        <v>4</v>
      </c>
      <c r="C574">
        <v>0.15990000000000001</v>
      </c>
      <c r="D574">
        <v>58.07</v>
      </c>
      <c r="F574" s="7">
        <f t="shared" si="16"/>
        <v>501.06924400000003</v>
      </c>
      <c r="G574" s="8">
        <f t="shared" si="17"/>
        <v>153.44075600000002</v>
      </c>
      <c r="I574" t="str">
        <v>11-Nov</v>
      </c>
      <c r="L574" t="b">
        <v>0</v>
      </c>
      <c r="N574" t="b">
        <v>0</v>
      </c>
    </row>
    <row r="575" spans="1:14" x14ac:dyDescent="0.35">
      <c r="A575">
        <v>472.1</v>
      </c>
      <c r="B575">
        <v>5</v>
      </c>
      <c r="C575">
        <v>0.15789999999999998</v>
      </c>
      <c r="D575">
        <v>66.510000000000005</v>
      </c>
      <c r="F575" s="7">
        <f t="shared" si="16"/>
        <v>1987.7770500000001</v>
      </c>
      <c r="G575" s="8">
        <f t="shared" si="17"/>
        <v>439.23294999999996</v>
      </c>
      <c r="I575" t="str">
        <v>03-Mar</v>
      </c>
      <c r="L575" t="b">
        <v>0</v>
      </c>
      <c r="N575" t="b">
        <v>0</v>
      </c>
    </row>
    <row r="576" spans="1:14" x14ac:dyDescent="0.35">
      <c r="A576">
        <v>394.65</v>
      </c>
      <c r="B576">
        <v>5</v>
      </c>
      <c r="C576">
        <v>0.1867</v>
      </c>
      <c r="D576">
        <v>12.39</v>
      </c>
      <c r="F576" s="7">
        <f t="shared" si="16"/>
        <v>1604.8442250000001</v>
      </c>
      <c r="G576" s="8">
        <f t="shared" si="17"/>
        <v>380.79577499999999</v>
      </c>
      <c r="I576" t="str">
        <v>12-Dec</v>
      </c>
      <c r="L576" t="b">
        <v>0</v>
      </c>
      <c r="N576" t="b">
        <v>0</v>
      </c>
    </row>
    <row r="577" spans="1:14" x14ac:dyDescent="0.35">
      <c r="A577">
        <v>258.26</v>
      </c>
      <c r="B577">
        <v>4</v>
      </c>
      <c r="C577">
        <v>3.7900000000000003E-2</v>
      </c>
      <c r="D577">
        <v>31.81</v>
      </c>
      <c r="F577" s="7">
        <f t="shared" si="16"/>
        <v>993.8877839999999</v>
      </c>
      <c r="G577" s="8">
        <f t="shared" si="17"/>
        <v>70.962215999999998</v>
      </c>
      <c r="I577" t="str">
        <v>12-Dec</v>
      </c>
      <c r="L577" t="b">
        <v>0</v>
      </c>
      <c r="N577" t="b">
        <v>0</v>
      </c>
    </row>
    <row r="578" spans="1:14" x14ac:dyDescent="0.35">
      <c r="A578">
        <v>429.5</v>
      </c>
      <c r="B578">
        <v>5</v>
      </c>
      <c r="C578">
        <v>0.40029999999999999</v>
      </c>
      <c r="D578">
        <v>57.89</v>
      </c>
      <c r="F578" s="7">
        <f t="shared" si="16"/>
        <v>1287.8557499999999</v>
      </c>
      <c r="G578" s="8">
        <f t="shared" si="17"/>
        <v>917.53424999999993</v>
      </c>
      <c r="I578" t="str">
        <v>01-Jan</v>
      </c>
      <c r="L578" t="b">
        <v>1</v>
      </c>
      <c r="N578" t="b">
        <v>0</v>
      </c>
    </row>
    <row r="579" spans="1:14" x14ac:dyDescent="0.35">
      <c r="A579">
        <v>351</v>
      </c>
      <c r="B579">
        <v>4</v>
      </c>
      <c r="C579">
        <v>0.1489</v>
      </c>
      <c r="D579">
        <v>47.93</v>
      </c>
      <c r="F579" s="7">
        <f t="shared" ref="F579:F642" si="18">($A579*$B579)*(1-$C579)</f>
        <v>1194.9443999999999</v>
      </c>
      <c r="G579" s="8">
        <f t="shared" ref="G579:G642" si="19">D579+(A579*B579*C579)</f>
        <v>256.98559999999998</v>
      </c>
      <c r="I579" t="str">
        <v>09-Sep</v>
      </c>
      <c r="L579" t="b">
        <v>0</v>
      </c>
      <c r="N579" t="b">
        <v>0</v>
      </c>
    </row>
    <row r="580" spans="1:14" x14ac:dyDescent="0.35">
      <c r="A580">
        <v>277.16000000000003</v>
      </c>
      <c r="B580">
        <v>5</v>
      </c>
      <c r="C580">
        <v>1.52E-2</v>
      </c>
      <c r="D580">
        <v>72.5</v>
      </c>
      <c r="F580" s="7">
        <f t="shared" si="18"/>
        <v>1364.7358400000003</v>
      </c>
      <c r="G580" s="8">
        <f t="shared" si="19"/>
        <v>93.564160000000001</v>
      </c>
      <c r="I580" t="str">
        <v>09-Sep</v>
      </c>
      <c r="L580" t="b">
        <v>0</v>
      </c>
      <c r="N580" t="b">
        <v>0</v>
      </c>
    </row>
    <row r="581" spans="1:14" x14ac:dyDescent="0.35">
      <c r="A581">
        <v>155.47</v>
      </c>
      <c r="B581">
        <v>5</v>
      </c>
      <c r="C581">
        <v>0.31480000000000002</v>
      </c>
      <c r="D581">
        <v>13.37</v>
      </c>
      <c r="F581" s="7">
        <f t="shared" si="18"/>
        <v>532.64022</v>
      </c>
      <c r="G581" s="8">
        <f t="shared" si="19"/>
        <v>258.07978000000003</v>
      </c>
      <c r="I581" t="str">
        <v>05-May</v>
      </c>
      <c r="L581" t="b">
        <v>0</v>
      </c>
      <c r="N581" t="b">
        <v>0</v>
      </c>
    </row>
    <row r="582" spans="1:14" x14ac:dyDescent="0.35">
      <c r="A582">
        <v>151.75</v>
      </c>
      <c r="B582">
        <v>3</v>
      </c>
      <c r="C582">
        <v>0.29449999999999998</v>
      </c>
      <c r="D582">
        <v>91.91</v>
      </c>
      <c r="F582" s="7">
        <f t="shared" si="18"/>
        <v>321.17887500000001</v>
      </c>
      <c r="G582" s="8">
        <f t="shared" si="19"/>
        <v>225.98112499999999</v>
      </c>
      <c r="I582" t="str">
        <v>02-Feb</v>
      </c>
      <c r="L582" t="b">
        <v>0</v>
      </c>
      <c r="N582" t="b">
        <v>0</v>
      </c>
    </row>
    <row r="583" spans="1:14" x14ac:dyDescent="0.35">
      <c r="A583">
        <v>71.42</v>
      </c>
      <c r="B583">
        <v>5</v>
      </c>
      <c r="C583">
        <v>0.2777</v>
      </c>
      <c r="D583">
        <v>74.27</v>
      </c>
      <c r="F583" s="7">
        <f t="shared" si="18"/>
        <v>257.93333000000001</v>
      </c>
      <c r="G583" s="8">
        <f t="shared" si="19"/>
        <v>173.43666999999999</v>
      </c>
      <c r="I583" t="str">
        <v>01-Jan</v>
      </c>
      <c r="L583" t="b">
        <v>1</v>
      </c>
      <c r="N583" t="b">
        <v>0</v>
      </c>
    </row>
    <row r="584" spans="1:14" x14ac:dyDescent="0.35">
      <c r="A584">
        <v>466.2</v>
      </c>
      <c r="B584">
        <v>4</v>
      </c>
      <c r="C584">
        <v>9.0299999999999991E-2</v>
      </c>
      <c r="D584">
        <v>35.89</v>
      </c>
      <c r="F584" s="7">
        <f t="shared" si="18"/>
        <v>1696.4085599999999</v>
      </c>
      <c r="G584" s="8">
        <f t="shared" si="19"/>
        <v>204.28143999999998</v>
      </c>
      <c r="I584" t="str">
        <v>05-May</v>
      </c>
      <c r="L584" t="b">
        <v>0</v>
      </c>
      <c r="N584" t="b">
        <v>0</v>
      </c>
    </row>
    <row r="585" spans="1:14" x14ac:dyDescent="0.35">
      <c r="A585">
        <v>370.59</v>
      </c>
      <c r="B585">
        <v>3</v>
      </c>
      <c r="C585">
        <v>0.18479999999999999</v>
      </c>
      <c r="D585">
        <v>86.14</v>
      </c>
      <c r="F585" s="7">
        <f t="shared" si="18"/>
        <v>906.31490400000007</v>
      </c>
      <c r="G585" s="8">
        <f t="shared" si="19"/>
        <v>291.59509600000001</v>
      </c>
      <c r="I585" t="str">
        <v>01-Jan</v>
      </c>
      <c r="L585" t="b">
        <v>1</v>
      </c>
      <c r="N585" t="b">
        <v>0</v>
      </c>
    </row>
    <row r="586" spans="1:14" x14ac:dyDescent="0.35">
      <c r="A586">
        <v>404.77</v>
      </c>
      <c r="B586">
        <v>3</v>
      </c>
      <c r="C586">
        <v>0.19329999999999997</v>
      </c>
      <c r="D586">
        <v>32.51</v>
      </c>
      <c r="F586" s="7">
        <f t="shared" si="18"/>
        <v>979.58387699999992</v>
      </c>
      <c r="G586" s="8">
        <f t="shared" si="19"/>
        <v>267.23612299999996</v>
      </c>
      <c r="I586" t="str">
        <v>05-May</v>
      </c>
      <c r="L586" t="b">
        <v>0</v>
      </c>
      <c r="N586" t="b">
        <v>0</v>
      </c>
    </row>
    <row r="587" spans="1:14" x14ac:dyDescent="0.35">
      <c r="A587">
        <v>208.83</v>
      </c>
      <c r="B587">
        <v>3</v>
      </c>
      <c r="C587">
        <v>0.14349999999999999</v>
      </c>
      <c r="D587">
        <v>34.46</v>
      </c>
      <c r="F587" s="7">
        <f t="shared" si="18"/>
        <v>536.58868500000005</v>
      </c>
      <c r="G587" s="8">
        <f t="shared" si="19"/>
        <v>124.36131499999999</v>
      </c>
      <c r="I587" t="str">
        <v>06-Jun</v>
      </c>
      <c r="L587" t="b">
        <v>0</v>
      </c>
      <c r="N587" t="b">
        <v>0</v>
      </c>
    </row>
    <row r="588" spans="1:14" x14ac:dyDescent="0.35">
      <c r="A588">
        <v>101.39</v>
      </c>
      <c r="B588">
        <v>4</v>
      </c>
      <c r="C588">
        <v>0.10439999999999999</v>
      </c>
      <c r="D588">
        <v>46.6</v>
      </c>
      <c r="F588" s="7">
        <f t="shared" si="18"/>
        <v>363.21953600000001</v>
      </c>
      <c r="G588" s="8">
        <f t="shared" si="19"/>
        <v>88.940463999999992</v>
      </c>
      <c r="I588" t="str">
        <v>11-Nov</v>
      </c>
      <c r="L588" t="b">
        <v>0</v>
      </c>
      <c r="N588" t="b">
        <v>0</v>
      </c>
    </row>
    <row r="589" spans="1:14" x14ac:dyDescent="0.35">
      <c r="A589">
        <v>95.47</v>
      </c>
      <c r="B589">
        <v>5</v>
      </c>
      <c r="C589">
        <v>0.43030000000000002</v>
      </c>
      <c r="D589">
        <v>15.03</v>
      </c>
      <c r="F589" s="7">
        <f t="shared" si="18"/>
        <v>271.94629500000002</v>
      </c>
      <c r="G589" s="8">
        <f t="shared" si="19"/>
        <v>220.43370500000003</v>
      </c>
      <c r="I589" t="str">
        <v>12-Dec</v>
      </c>
      <c r="L589" t="b">
        <v>0</v>
      </c>
      <c r="N589" t="b">
        <v>0</v>
      </c>
    </row>
    <row r="590" spans="1:14" x14ac:dyDescent="0.35">
      <c r="A590">
        <v>353.39</v>
      </c>
      <c r="B590">
        <v>5</v>
      </c>
      <c r="C590">
        <v>0.46130000000000004</v>
      </c>
      <c r="D590">
        <v>52.17</v>
      </c>
      <c r="F590" s="7">
        <f t="shared" si="18"/>
        <v>951.85596499999986</v>
      </c>
      <c r="G590" s="8">
        <f t="shared" si="19"/>
        <v>867.26403499999992</v>
      </c>
      <c r="I590" t="str">
        <v>12-Dec</v>
      </c>
      <c r="L590" t="b">
        <v>0</v>
      </c>
      <c r="N590" t="b">
        <v>0</v>
      </c>
    </row>
    <row r="591" spans="1:14" x14ac:dyDescent="0.35">
      <c r="A591">
        <v>452.36</v>
      </c>
      <c r="B591">
        <v>3</v>
      </c>
      <c r="C591">
        <v>0.1011</v>
      </c>
      <c r="D591">
        <v>81.02</v>
      </c>
      <c r="F591" s="7">
        <f t="shared" si="18"/>
        <v>1219.8792120000001</v>
      </c>
      <c r="G591" s="8">
        <f t="shared" si="19"/>
        <v>218.22078799999997</v>
      </c>
      <c r="I591" t="str">
        <v>02-Feb</v>
      </c>
      <c r="L591" t="b">
        <v>0</v>
      </c>
      <c r="N591" t="b">
        <v>0</v>
      </c>
    </row>
    <row r="592" spans="1:14" x14ac:dyDescent="0.35">
      <c r="A592">
        <v>114.26</v>
      </c>
      <c r="B592">
        <v>4</v>
      </c>
      <c r="C592">
        <v>0.37630000000000002</v>
      </c>
      <c r="D592">
        <v>38.270000000000003</v>
      </c>
      <c r="F592" s="7">
        <f t="shared" si="18"/>
        <v>285.05584799999997</v>
      </c>
      <c r="G592" s="8">
        <f t="shared" si="19"/>
        <v>210.25415200000003</v>
      </c>
      <c r="I592" t="str">
        <v>04-Apr</v>
      </c>
      <c r="L592" t="b">
        <v>0</v>
      </c>
      <c r="N592" t="b">
        <v>0</v>
      </c>
    </row>
    <row r="593" spans="1:14" x14ac:dyDescent="0.35">
      <c r="A593">
        <v>56.05</v>
      </c>
      <c r="B593">
        <v>5</v>
      </c>
      <c r="C593">
        <v>0.40570000000000001</v>
      </c>
      <c r="D593">
        <v>83.11</v>
      </c>
      <c r="F593" s="7">
        <f t="shared" si="18"/>
        <v>166.55257500000002</v>
      </c>
      <c r="G593" s="8">
        <f t="shared" si="19"/>
        <v>196.80742499999999</v>
      </c>
      <c r="I593" t="str">
        <v>10-Oct</v>
      </c>
      <c r="L593" t="b">
        <v>0</v>
      </c>
      <c r="N593" t="b">
        <v>0</v>
      </c>
    </row>
    <row r="594" spans="1:14" x14ac:dyDescent="0.35">
      <c r="A594">
        <v>252.62</v>
      </c>
      <c r="B594">
        <v>5</v>
      </c>
      <c r="C594">
        <v>6.5099999999999991E-2</v>
      </c>
      <c r="D594">
        <v>13.23</v>
      </c>
      <c r="F594" s="7">
        <f t="shared" si="18"/>
        <v>1180.87219</v>
      </c>
      <c r="G594" s="8">
        <f t="shared" si="19"/>
        <v>95.457809999999981</v>
      </c>
      <c r="I594" t="str">
        <v>07-Jul</v>
      </c>
      <c r="L594" t="b">
        <v>0</v>
      </c>
      <c r="N594" t="b">
        <v>0</v>
      </c>
    </row>
    <row r="595" spans="1:14" x14ac:dyDescent="0.35">
      <c r="A595">
        <v>490.28</v>
      </c>
      <c r="B595">
        <v>3</v>
      </c>
      <c r="C595">
        <v>5.8099999999999999E-2</v>
      </c>
      <c r="D595">
        <v>93.63</v>
      </c>
      <c r="F595" s="7">
        <f t="shared" si="18"/>
        <v>1385.384196</v>
      </c>
      <c r="G595" s="8">
        <f t="shared" si="19"/>
        <v>179.085804</v>
      </c>
      <c r="I595" t="str">
        <v>08-Aug</v>
      </c>
      <c r="L595" t="b">
        <v>0</v>
      </c>
      <c r="N595" t="b">
        <v>0</v>
      </c>
    </row>
    <row r="596" spans="1:14" x14ac:dyDescent="0.35">
      <c r="A596">
        <v>189.12</v>
      </c>
      <c r="B596">
        <v>4</v>
      </c>
      <c r="C596">
        <v>0.29430000000000001</v>
      </c>
      <c r="D596">
        <v>43.73</v>
      </c>
      <c r="F596" s="7">
        <f t="shared" si="18"/>
        <v>533.847936</v>
      </c>
      <c r="G596" s="8">
        <f t="shared" si="19"/>
        <v>266.36206400000003</v>
      </c>
      <c r="I596" t="str">
        <v>08-Aug</v>
      </c>
      <c r="L596" t="b">
        <v>0</v>
      </c>
      <c r="N596" t="b">
        <v>0</v>
      </c>
    </row>
    <row r="597" spans="1:14" x14ac:dyDescent="0.35">
      <c r="A597">
        <v>369.37</v>
      </c>
      <c r="B597">
        <v>4</v>
      </c>
      <c r="C597">
        <v>6.0599999999999994E-2</v>
      </c>
      <c r="D597">
        <v>36.950000000000003</v>
      </c>
      <c r="F597" s="7">
        <f t="shared" si="18"/>
        <v>1387.944712</v>
      </c>
      <c r="G597" s="8">
        <f t="shared" si="19"/>
        <v>126.485288</v>
      </c>
      <c r="I597" t="str">
        <v>02-Feb</v>
      </c>
      <c r="L597" t="b">
        <v>0</v>
      </c>
      <c r="N597" t="b">
        <v>0</v>
      </c>
    </row>
    <row r="598" spans="1:14" x14ac:dyDescent="0.35">
      <c r="A598">
        <v>234.71</v>
      </c>
      <c r="B598">
        <v>5</v>
      </c>
      <c r="C598">
        <v>0.45649999999999996</v>
      </c>
      <c r="D598">
        <v>99.63</v>
      </c>
      <c r="F598" s="7">
        <f t="shared" si="18"/>
        <v>637.82442500000013</v>
      </c>
      <c r="G598" s="8">
        <f t="shared" si="19"/>
        <v>635.35557499999993</v>
      </c>
      <c r="I598" t="str">
        <v>06-Jun</v>
      </c>
      <c r="L598" t="b">
        <v>0</v>
      </c>
      <c r="N598" t="b">
        <v>0</v>
      </c>
    </row>
    <row r="599" spans="1:14" x14ac:dyDescent="0.35">
      <c r="A599">
        <v>409.53</v>
      </c>
      <c r="B599">
        <v>5</v>
      </c>
      <c r="C599">
        <v>0.26530000000000004</v>
      </c>
      <c r="D599">
        <v>25.35</v>
      </c>
      <c r="F599" s="7">
        <f t="shared" si="18"/>
        <v>1504.4084549999998</v>
      </c>
      <c r="G599" s="8">
        <f t="shared" si="19"/>
        <v>568.59154500000011</v>
      </c>
      <c r="I599" t="str">
        <v>03-Mar</v>
      </c>
      <c r="L599" t="b">
        <v>0</v>
      </c>
      <c r="N599" t="b">
        <v>0</v>
      </c>
    </row>
    <row r="600" spans="1:14" x14ac:dyDescent="0.35">
      <c r="A600">
        <v>382.28</v>
      </c>
      <c r="B600">
        <v>5</v>
      </c>
      <c r="C600">
        <v>0.2303</v>
      </c>
      <c r="D600">
        <v>25.33</v>
      </c>
      <c r="F600" s="7">
        <f t="shared" si="18"/>
        <v>1471.2045800000001</v>
      </c>
      <c r="G600" s="8">
        <f t="shared" si="19"/>
        <v>465.52541999999994</v>
      </c>
      <c r="I600" t="str">
        <v>12-Dec</v>
      </c>
      <c r="L600" t="b">
        <v>0</v>
      </c>
      <c r="N600" t="b">
        <v>0</v>
      </c>
    </row>
    <row r="601" spans="1:14" x14ac:dyDescent="0.35">
      <c r="A601">
        <v>445.44</v>
      </c>
      <c r="B601">
        <v>3</v>
      </c>
      <c r="C601">
        <v>0.44359999999999999</v>
      </c>
      <c r="D601">
        <v>54.28</v>
      </c>
      <c r="F601" s="7">
        <f t="shared" si="18"/>
        <v>743.52844800000003</v>
      </c>
      <c r="G601" s="8">
        <f t="shared" si="19"/>
        <v>647.07155199999988</v>
      </c>
      <c r="I601" t="str">
        <v>06-Jun</v>
      </c>
      <c r="L601" t="b">
        <v>0</v>
      </c>
      <c r="N601" t="b">
        <v>0</v>
      </c>
    </row>
    <row r="602" spans="1:14" x14ac:dyDescent="0.35">
      <c r="A602">
        <v>214.44</v>
      </c>
      <c r="B602">
        <v>5</v>
      </c>
      <c r="C602">
        <v>0.498</v>
      </c>
      <c r="D602">
        <v>68.349999999999994</v>
      </c>
      <c r="F602" s="7">
        <f t="shared" si="18"/>
        <v>538.24440000000004</v>
      </c>
      <c r="G602" s="8">
        <f t="shared" si="19"/>
        <v>602.30560000000003</v>
      </c>
      <c r="I602" t="str">
        <v>09-Sep</v>
      </c>
      <c r="L602" t="b">
        <v>0</v>
      </c>
      <c r="N602" t="b">
        <v>0</v>
      </c>
    </row>
    <row r="603" spans="1:14" x14ac:dyDescent="0.35">
      <c r="A603">
        <v>205.14</v>
      </c>
      <c r="B603">
        <v>4</v>
      </c>
      <c r="C603">
        <v>0.48399999999999999</v>
      </c>
      <c r="D603">
        <v>87.8</v>
      </c>
      <c r="F603" s="7">
        <f t="shared" si="18"/>
        <v>423.40895999999998</v>
      </c>
      <c r="G603" s="8">
        <f t="shared" si="19"/>
        <v>484.95103999999998</v>
      </c>
      <c r="I603" t="str">
        <v>11-Nov</v>
      </c>
      <c r="L603" t="b">
        <v>0</v>
      </c>
      <c r="N603" t="b">
        <v>0</v>
      </c>
    </row>
    <row r="604" spans="1:14" x14ac:dyDescent="0.35">
      <c r="A604">
        <v>322.45</v>
      </c>
      <c r="B604">
        <v>4</v>
      </c>
      <c r="C604">
        <v>0.35479999999999995</v>
      </c>
      <c r="D604">
        <v>88.06</v>
      </c>
      <c r="F604" s="7">
        <f t="shared" si="18"/>
        <v>832.17895999999996</v>
      </c>
      <c r="G604" s="8">
        <f t="shared" si="19"/>
        <v>545.68103999999994</v>
      </c>
      <c r="I604" t="str">
        <v>11-Nov</v>
      </c>
      <c r="L604" t="b">
        <v>0</v>
      </c>
      <c r="N604" t="b">
        <v>0</v>
      </c>
    </row>
    <row r="605" spans="1:14" x14ac:dyDescent="0.35">
      <c r="A605">
        <v>107.01</v>
      </c>
      <c r="B605">
        <v>5</v>
      </c>
      <c r="C605">
        <v>0.4526</v>
      </c>
      <c r="D605">
        <v>28.17</v>
      </c>
      <c r="F605" s="7">
        <f t="shared" si="18"/>
        <v>292.88637000000006</v>
      </c>
      <c r="G605" s="8">
        <f t="shared" si="19"/>
        <v>270.33363000000003</v>
      </c>
      <c r="I605" t="str">
        <v>02-Feb</v>
      </c>
      <c r="L605" t="b">
        <v>0</v>
      </c>
      <c r="N605" t="b">
        <v>0</v>
      </c>
    </row>
    <row r="606" spans="1:14" x14ac:dyDescent="0.35">
      <c r="A606">
        <v>267.70999999999998</v>
      </c>
      <c r="B606">
        <v>4</v>
      </c>
      <c r="C606">
        <v>0.36299999999999999</v>
      </c>
      <c r="D606">
        <v>25.02</v>
      </c>
      <c r="F606" s="7">
        <f t="shared" si="18"/>
        <v>682.12507999999991</v>
      </c>
      <c r="G606" s="8">
        <f t="shared" si="19"/>
        <v>413.73491999999993</v>
      </c>
      <c r="I606" t="str">
        <v>06-Jun</v>
      </c>
      <c r="L606" t="b">
        <v>0</v>
      </c>
      <c r="N606" t="b">
        <v>0</v>
      </c>
    </row>
    <row r="607" spans="1:14" x14ac:dyDescent="0.35">
      <c r="A607">
        <v>190.52</v>
      </c>
      <c r="B607">
        <v>3</v>
      </c>
      <c r="C607">
        <v>0.10920000000000001</v>
      </c>
      <c r="D607">
        <v>20.45</v>
      </c>
      <c r="F607" s="7">
        <f t="shared" si="18"/>
        <v>509.14564800000005</v>
      </c>
      <c r="G607" s="8">
        <f t="shared" si="19"/>
        <v>82.864352000000011</v>
      </c>
      <c r="I607" t="str">
        <v>12-Dec</v>
      </c>
      <c r="L607" t="b">
        <v>0</v>
      </c>
      <c r="N607" t="b">
        <v>0</v>
      </c>
    </row>
    <row r="608" spans="1:14" x14ac:dyDescent="0.35">
      <c r="A608">
        <v>399.31</v>
      </c>
      <c r="B608">
        <v>5</v>
      </c>
      <c r="C608">
        <v>0.41439999999999999</v>
      </c>
      <c r="D608">
        <v>98.49</v>
      </c>
      <c r="F608" s="7">
        <f t="shared" si="18"/>
        <v>1169.17968</v>
      </c>
      <c r="G608" s="8">
        <f t="shared" si="19"/>
        <v>925.86032</v>
      </c>
      <c r="I608" t="str">
        <v>02-Feb</v>
      </c>
      <c r="L608" t="b">
        <v>0</v>
      </c>
      <c r="N608" t="b">
        <v>0</v>
      </c>
    </row>
    <row r="609" spans="1:14" x14ac:dyDescent="0.35">
      <c r="A609">
        <v>212.67</v>
      </c>
      <c r="B609">
        <v>3</v>
      </c>
      <c r="C609">
        <v>0.29949999999999999</v>
      </c>
      <c r="D609">
        <v>13.79</v>
      </c>
      <c r="F609" s="7">
        <f t="shared" si="18"/>
        <v>446.92600499999998</v>
      </c>
      <c r="G609" s="8">
        <f t="shared" si="19"/>
        <v>204.87399499999998</v>
      </c>
      <c r="I609" t="str">
        <v>08-Aug</v>
      </c>
      <c r="L609" t="b">
        <v>0</v>
      </c>
      <c r="N609" t="b">
        <v>0</v>
      </c>
    </row>
    <row r="610" spans="1:14" x14ac:dyDescent="0.35">
      <c r="A610">
        <v>468.76</v>
      </c>
      <c r="B610">
        <v>5</v>
      </c>
      <c r="C610">
        <v>0.25629999999999997</v>
      </c>
      <c r="D610">
        <v>71.66</v>
      </c>
      <c r="F610" s="7">
        <f t="shared" si="18"/>
        <v>1743.0840600000001</v>
      </c>
      <c r="G610" s="8">
        <f t="shared" si="19"/>
        <v>672.3759399999999</v>
      </c>
      <c r="I610" t="str">
        <v>03-Mar</v>
      </c>
      <c r="L610" t="b">
        <v>0</v>
      </c>
      <c r="N610" t="b">
        <v>0</v>
      </c>
    </row>
    <row r="611" spans="1:14" x14ac:dyDescent="0.35">
      <c r="A611">
        <v>156.51</v>
      </c>
      <c r="B611">
        <v>4</v>
      </c>
      <c r="C611">
        <v>0.42100000000000004</v>
      </c>
      <c r="D611">
        <v>36.700000000000003</v>
      </c>
      <c r="F611" s="7">
        <f t="shared" si="18"/>
        <v>362.47715999999997</v>
      </c>
      <c r="G611" s="8">
        <f t="shared" si="19"/>
        <v>300.26283999999998</v>
      </c>
      <c r="I611" t="str">
        <v>06-Jun</v>
      </c>
      <c r="L611" t="b">
        <v>0</v>
      </c>
      <c r="N611" t="b">
        <v>0</v>
      </c>
    </row>
    <row r="612" spans="1:14" x14ac:dyDescent="0.35">
      <c r="A612">
        <v>391.89</v>
      </c>
      <c r="B612">
        <v>3</v>
      </c>
      <c r="C612">
        <v>0.3856</v>
      </c>
      <c r="D612">
        <v>46.8</v>
      </c>
      <c r="F612" s="7">
        <f t="shared" si="18"/>
        <v>722.33164800000009</v>
      </c>
      <c r="G612" s="8">
        <f t="shared" si="19"/>
        <v>500.13835200000005</v>
      </c>
      <c r="I612" t="str">
        <v>10-Oct</v>
      </c>
      <c r="L612" t="b">
        <v>0</v>
      </c>
      <c r="N612" t="b">
        <v>0</v>
      </c>
    </row>
    <row r="613" spans="1:14" x14ac:dyDescent="0.35">
      <c r="A613">
        <v>91.66</v>
      </c>
      <c r="B613">
        <v>4</v>
      </c>
      <c r="C613">
        <v>0.2402</v>
      </c>
      <c r="D613">
        <v>69.040000000000006</v>
      </c>
      <c r="F613" s="7">
        <f t="shared" si="18"/>
        <v>278.57307200000002</v>
      </c>
      <c r="G613" s="8">
        <f t="shared" si="19"/>
        <v>157.10692799999998</v>
      </c>
      <c r="I613" t="str">
        <v>07-Jul</v>
      </c>
      <c r="L613" t="b">
        <v>0</v>
      </c>
      <c r="N613" t="b">
        <v>0</v>
      </c>
    </row>
    <row r="614" spans="1:14" x14ac:dyDescent="0.35">
      <c r="A614">
        <v>425.97</v>
      </c>
      <c r="B614">
        <v>5</v>
      </c>
      <c r="C614">
        <v>0.24109999999999998</v>
      </c>
      <c r="D614">
        <v>56.04</v>
      </c>
      <c r="F614" s="7">
        <f t="shared" si="18"/>
        <v>1616.3431650000002</v>
      </c>
      <c r="G614" s="8">
        <f t="shared" si="19"/>
        <v>569.54683499999999</v>
      </c>
      <c r="I614" t="str">
        <v>06-Jun</v>
      </c>
      <c r="L614" t="b">
        <v>0</v>
      </c>
      <c r="N614" t="b">
        <v>0</v>
      </c>
    </row>
    <row r="615" spans="1:14" x14ac:dyDescent="0.35">
      <c r="A615">
        <v>76.39</v>
      </c>
      <c r="B615">
        <v>5</v>
      </c>
      <c r="C615">
        <v>0.27500000000000002</v>
      </c>
      <c r="D615">
        <v>54.47</v>
      </c>
      <c r="F615" s="7">
        <f t="shared" si="18"/>
        <v>276.91374999999999</v>
      </c>
      <c r="G615" s="8">
        <f t="shared" si="19"/>
        <v>159.50625000000002</v>
      </c>
      <c r="I615" t="str">
        <v>10-Oct</v>
      </c>
      <c r="L615" t="b">
        <v>0</v>
      </c>
      <c r="N615" t="b">
        <v>0</v>
      </c>
    </row>
    <row r="616" spans="1:14" x14ac:dyDescent="0.35">
      <c r="A616">
        <v>470.4</v>
      </c>
      <c r="B616">
        <v>4</v>
      </c>
      <c r="C616">
        <v>0.1595</v>
      </c>
      <c r="D616">
        <v>14.68</v>
      </c>
      <c r="F616" s="7">
        <f t="shared" si="18"/>
        <v>1581.4848</v>
      </c>
      <c r="G616" s="8">
        <f t="shared" si="19"/>
        <v>314.79520000000002</v>
      </c>
      <c r="I616" t="str">
        <v>12-Dec</v>
      </c>
      <c r="L616" t="b">
        <v>0</v>
      </c>
      <c r="N616" t="b">
        <v>0</v>
      </c>
    </row>
    <row r="617" spans="1:14" x14ac:dyDescent="0.35">
      <c r="A617">
        <v>390.79</v>
      </c>
      <c r="B617">
        <v>4</v>
      </c>
      <c r="C617">
        <v>0.19190000000000002</v>
      </c>
      <c r="D617">
        <v>75.33</v>
      </c>
      <c r="F617" s="7">
        <f t="shared" si="18"/>
        <v>1263.1895960000002</v>
      </c>
      <c r="G617" s="8">
        <f t="shared" si="19"/>
        <v>375.30040400000001</v>
      </c>
      <c r="I617" t="str">
        <v>07-Jul</v>
      </c>
      <c r="L617" t="b">
        <v>0</v>
      </c>
      <c r="N617" t="b">
        <v>0</v>
      </c>
    </row>
    <row r="618" spans="1:14" x14ac:dyDescent="0.35">
      <c r="A618">
        <v>192.91</v>
      </c>
      <c r="B618">
        <v>3</v>
      </c>
      <c r="C618">
        <v>0.42369999999999997</v>
      </c>
      <c r="D618">
        <v>57.55</v>
      </c>
      <c r="F618" s="7">
        <f t="shared" si="18"/>
        <v>333.52209900000003</v>
      </c>
      <c r="G618" s="8">
        <f t="shared" si="19"/>
        <v>302.757901</v>
      </c>
      <c r="I618" t="str">
        <v>02-Feb</v>
      </c>
      <c r="L618" t="b">
        <v>0</v>
      </c>
      <c r="N618" t="b">
        <v>0</v>
      </c>
    </row>
    <row r="619" spans="1:14" x14ac:dyDescent="0.35">
      <c r="A619">
        <v>302.69</v>
      </c>
      <c r="B619">
        <v>4</v>
      </c>
      <c r="C619">
        <v>0.29109999999999997</v>
      </c>
      <c r="D619">
        <v>17.61</v>
      </c>
      <c r="F619" s="7">
        <f t="shared" si="18"/>
        <v>858.30776400000013</v>
      </c>
      <c r="G619" s="8">
        <f t="shared" si="19"/>
        <v>370.06223599999998</v>
      </c>
      <c r="I619" t="str">
        <v>01-Jan</v>
      </c>
      <c r="L619" t="b">
        <v>1</v>
      </c>
      <c r="N619" t="b">
        <v>0</v>
      </c>
    </row>
    <row r="620" spans="1:14" x14ac:dyDescent="0.35">
      <c r="A620">
        <v>415.9</v>
      </c>
      <c r="B620">
        <v>5</v>
      </c>
      <c r="C620">
        <v>0.39090000000000003</v>
      </c>
      <c r="D620">
        <v>69.11</v>
      </c>
      <c r="F620" s="7">
        <f t="shared" si="18"/>
        <v>1266.62345</v>
      </c>
      <c r="G620" s="8">
        <f t="shared" si="19"/>
        <v>881.98655000000008</v>
      </c>
      <c r="I620" t="str">
        <v>09-Sep</v>
      </c>
      <c r="L620" t="b">
        <v>0</v>
      </c>
      <c r="N620" t="b">
        <v>0</v>
      </c>
    </row>
    <row r="621" spans="1:14" x14ac:dyDescent="0.35">
      <c r="A621">
        <v>106.79</v>
      </c>
      <c r="B621">
        <v>3</v>
      </c>
      <c r="C621">
        <v>0.41969999999999996</v>
      </c>
      <c r="D621">
        <v>88.25</v>
      </c>
      <c r="F621" s="7">
        <f t="shared" si="18"/>
        <v>185.91071100000002</v>
      </c>
      <c r="G621" s="8">
        <f t="shared" si="19"/>
        <v>222.70928899999998</v>
      </c>
      <c r="I621" t="str">
        <v>03-Mar</v>
      </c>
      <c r="L621" t="b">
        <v>0</v>
      </c>
      <c r="N621" t="b">
        <v>0</v>
      </c>
    </row>
    <row r="622" spans="1:14" x14ac:dyDescent="0.35">
      <c r="A622">
        <v>332.16</v>
      </c>
      <c r="B622">
        <v>4</v>
      </c>
      <c r="C622">
        <v>0.34850000000000003</v>
      </c>
      <c r="D622">
        <v>61.79</v>
      </c>
      <c r="F622" s="7">
        <f t="shared" si="18"/>
        <v>865.60896000000002</v>
      </c>
      <c r="G622" s="8">
        <f t="shared" si="19"/>
        <v>524.82104000000004</v>
      </c>
      <c r="I622" t="str">
        <v>05-May</v>
      </c>
      <c r="L622" t="b">
        <v>0</v>
      </c>
      <c r="N622" t="b">
        <v>0</v>
      </c>
    </row>
    <row r="623" spans="1:14" x14ac:dyDescent="0.35">
      <c r="A623">
        <v>122.11</v>
      </c>
      <c r="B623">
        <v>4</v>
      </c>
      <c r="C623">
        <v>0.1116</v>
      </c>
      <c r="D623">
        <v>59.45</v>
      </c>
      <c r="F623" s="7">
        <f t="shared" si="18"/>
        <v>433.93009599999999</v>
      </c>
      <c r="G623" s="8">
        <f t="shared" si="19"/>
        <v>113.95990399999999</v>
      </c>
      <c r="I623" t="str">
        <v>07-Jul</v>
      </c>
      <c r="L623" t="b">
        <v>0</v>
      </c>
      <c r="N623" t="b">
        <v>0</v>
      </c>
    </row>
    <row r="624" spans="1:14" x14ac:dyDescent="0.35">
      <c r="A624">
        <v>193.65</v>
      </c>
      <c r="B624">
        <v>5</v>
      </c>
      <c r="C624">
        <v>6.5099999999999991E-2</v>
      </c>
      <c r="D624">
        <v>77.36</v>
      </c>
      <c r="F624" s="7">
        <f t="shared" si="18"/>
        <v>905.21692500000006</v>
      </c>
      <c r="G624" s="8">
        <f t="shared" si="19"/>
        <v>140.39307499999998</v>
      </c>
      <c r="I624" t="str">
        <v>07-Jul</v>
      </c>
      <c r="L624" t="b">
        <v>0</v>
      </c>
      <c r="N624" t="b">
        <v>0</v>
      </c>
    </row>
    <row r="625" spans="1:14" x14ac:dyDescent="0.35">
      <c r="A625">
        <v>198.08</v>
      </c>
      <c r="B625">
        <v>5</v>
      </c>
      <c r="C625">
        <v>0.192</v>
      </c>
      <c r="D625">
        <v>26.6</v>
      </c>
      <c r="F625" s="7">
        <f t="shared" si="18"/>
        <v>800.24320000000012</v>
      </c>
      <c r="G625" s="8">
        <f t="shared" si="19"/>
        <v>216.75680000000003</v>
      </c>
      <c r="I625" t="str">
        <v>12-Dec</v>
      </c>
      <c r="L625" t="b">
        <v>0</v>
      </c>
      <c r="N625" t="b">
        <v>0</v>
      </c>
    </row>
    <row r="626" spans="1:14" x14ac:dyDescent="0.35">
      <c r="A626">
        <v>257.36</v>
      </c>
      <c r="B626">
        <v>3</v>
      </c>
      <c r="C626">
        <v>0.1026</v>
      </c>
      <c r="D626">
        <v>89.32</v>
      </c>
      <c r="F626" s="7">
        <f t="shared" si="18"/>
        <v>692.86459200000002</v>
      </c>
      <c r="G626" s="8">
        <f t="shared" si="19"/>
        <v>168.53540799999999</v>
      </c>
      <c r="I626" t="str">
        <v>08-Aug</v>
      </c>
      <c r="L626" t="b">
        <v>0</v>
      </c>
      <c r="N626" t="b">
        <v>0</v>
      </c>
    </row>
    <row r="627" spans="1:14" x14ac:dyDescent="0.35">
      <c r="A627">
        <v>306.39</v>
      </c>
      <c r="B627">
        <v>3</v>
      </c>
      <c r="C627">
        <v>0.49640000000000001</v>
      </c>
      <c r="D627">
        <v>82.44</v>
      </c>
      <c r="F627" s="7">
        <f t="shared" si="18"/>
        <v>462.89401200000003</v>
      </c>
      <c r="G627" s="8">
        <f t="shared" si="19"/>
        <v>538.71598799999992</v>
      </c>
      <c r="I627" t="str">
        <v>05-May</v>
      </c>
      <c r="L627" t="b">
        <v>0</v>
      </c>
      <c r="N627" t="b">
        <v>0</v>
      </c>
    </row>
    <row r="628" spans="1:14" x14ac:dyDescent="0.35">
      <c r="A628">
        <v>157.26</v>
      </c>
      <c r="B628">
        <v>4</v>
      </c>
      <c r="C628">
        <v>0.39219999999999999</v>
      </c>
      <c r="D628">
        <v>33.44</v>
      </c>
      <c r="F628" s="7">
        <f t="shared" si="18"/>
        <v>382.330512</v>
      </c>
      <c r="G628" s="8">
        <f t="shared" si="19"/>
        <v>280.14948800000002</v>
      </c>
      <c r="I628" t="str">
        <v>01-Jan</v>
      </c>
      <c r="L628" t="b">
        <v>1</v>
      </c>
      <c r="N628" t="b">
        <v>0</v>
      </c>
    </row>
    <row r="629" spans="1:14" x14ac:dyDescent="0.35">
      <c r="A629">
        <v>284.69</v>
      </c>
      <c r="B629">
        <v>3</v>
      </c>
      <c r="C629">
        <v>5.5E-2</v>
      </c>
      <c r="D629">
        <v>13.07</v>
      </c>
      <c r="F629" s="7">
        <f t="shared" si="18"/>
        <v>807.09614999999985</v>
      </c>
      <c r="G629" s="8">
        <f t="shared" si="19"/>
        <v>60.043849999999999</v>
      </c>
      <c r="I629" t="str">
        <v>01-Jan</v>
      </c>
      <c r="L629" t="b">
        <v>1</v>
      </c>
      <c r="N629" t="b">
        <v>0</v>
      </c>
    </row>
    <row r="630" spans="1:14" x14ac:dyDescent="0.35">
      <c r="A630">
        <v>166.38</v>
      </c>
      <c r="B630">
        <v>3</v>
      </c>
      <c r="C630">
        <v>0.3478</v>
      </c>
      <c r="D630">
        <v>32.43</v>
      </c>
      <c r="F630" s="7">
        <f t="shared" si="18"/>
        <v>325.539108</v>
      </c>
      <c r="G630" s="8">
        <f t="shared" si="19"/>
        <v>206.03089199999999</v>
      </c>
      <c r="I630" t="str">
        <v>03-Mar</v>
      </c>
      <c r="L630" t="b">
        <v>0</v>
      </c>
      <c r="N630" t="b">
        <v>0</v>
      </c>
    </row>
    <row r="631" spans="1:14" x14ac:dyDescent="0.35">
      <c r="A631">
        <v>53.06</v>
      </c>
      <c r="B631">
        <v>4</v>
      </c>
      <c r="C631">
        <v>0.36780000000000002</v>
      </c>
      <c r="D631">
        <v>73.290000000000006</v>
      </c>
      <c r="F631" s="7">
        <f t="shared" si="18"/>
        <v>134.17812800000002</v>
      </c>
      <c r="G631" s="8">
        <f t="shared" si="19"/>
        <v>151.35187200000001</v>
      </c>
      <c r="I631" t="str">
        <v>09-Sep</v>
      </c>
      <c r="L631" t="b">
        <v>0</v>
      </c>
      <c r="N631" t="b">
        <v>0</v>
      </c>
    </row>
    <row r="632" spans="1:14" x14ac:dyDescent="0.35">
      <c r="A632">
        <v>106.64</v>
      </c>
      <c r="B632">
        <v>3</v>
      </c>
      <c r="C632">
        <v>0.10529999999999999</v>
      </c>
      <c r="D632">
        <v>74.87</v>
      </c>
      <c r="F632" s="7">
        <f t="shared" si="18"/>
        <v>286.23242400000004</v>
      </c>
      <c r="G632" s="8">
        <f t="shared" si="19"/>
        <v>108.55757600000001</v>
      </c>
      <c r="I632" t="str">
        <v>01-Jan</v>
      </c>
      <c r="L632" t="b">
        <v>1</v>
      </c>
      <c r="N632" t="b">
        <v>0</v>
      </c>
    </row>
    <row r="633" spans="1:14" x14ac:dyDescent="0.35">
      <c r="A633">
        <v>330.41</v>
      </c>
      <c r="B633">
        <v>5</v>
      </c>
      <c r="C633">
        <v>0.44020000000000004</v>
      </c>
      <c r="D633">
        <v>70.489999999999995</v>
      </c>
      <c r="F633" s="7">
        <f t="shared" si="18"/>
        <v>924.81759</v>
      </c>
      <c r="G633" s="8">
        <f t="shared" si="19"/>
        <v>797.7224100000002</v>
      </c>
      <c r="I633" t="str">
        <v>04-Apr</v>
      </c>
      <c r="L633" t="b">
        <v>0</v>
      </c>
      <c r="N633" t="b">
        <v>0</v>
      </c>
    </row>
    <row r="634" spans="1:14" x14ac:dyDescent="0.35">
      <c r="A634">
        <v>264.38</v>
      </c>
      <c r="B634">
        <v>5</v>
      </c>
      <c r="C634">
        <v>0.22899999999999998</v>
      </c>
      <c r="D634">
        <v>91.71</v>
      </c>
      <c r="F634" s="7">
        <f t="shared" si="18"/>
        <v>1019.1849000000001</v>
      </c>
      <c r="G634" s="8">
        <f t="shared" si="19"/>
        <v>394.42509999999999</v>
      </c>
      <c r="I634" t="str">
        <v>01-Jan</v>
      </c>
      <c r="L634" t="b">
        <v>1</v>
      </c>
      <c r="N634" t="b">
        <v>0</v>
      </c>
    </row>
    <row r="635" spans="1:14" x14ac:dyDescent="0.35">
      <c r="A635">
        <v>286.06</v>
      </c>
      <c r="B635">
        <v>4</v>
      </c>
      <c r="C635">
        <v>0.35680000000000001</v>
      </c>
      <c r="D635">
        <v>13.51</v>
      </c>
      <c r="F635" s="7">
        <f t="shared" si="18"/>
        <v>735.97516800000005</v>
      </c>
      <c r="G635" s="8">
        <f t="shared" si="19"/>
        <v>421.774832</v>
      </c>
      <c r="I635" t="str">
        <v>01-Jan</v>
      </c>
      <c r="L635" t="b">
        <v>1</v>
      </c>
      <c r="N635" t="b">
        <v>0</v>
      </c>
    </row>
    <row r="636" spans="1:14" x14ac:dyDescent="0.35">
      <c r="A636">
        <v>201.43</v>
      </c>
      <c r="B636">
        <v>3</v>
      </c>
      <c r="C636">
        <v>0.2089</v>
      </c>
      <c r="D636">
        <v>32.72</v>
      </c>
      <c r="F636" s="7">
        <f t="shared" si="18"/>
        <v>478.05381899999998</v>
      </c>
      <c r="G636" s="8">
        <f t="shared" si="19"/>
        <v>158.95618099999999</v>
      </c>
      <c r="I636" t="str">
        <v>04-Apr</v>
      </c>
      <c r="L636" t="b">
        <v>0</v>
      </c>
      <c r="N636" t="b">
        <v>0</v>
      </c>
    </row>
    <row r="637" spans="1:14" x14ac:dyDescent="0.35">
      <c r="A637">
        <v>216.77</v>
      </c>
      <c r="B637">
        <v>5</v>
      </c>
      <c r="C637">
        <v>0.35049999999999998</v>
      </c>
      <c r="D637">
        <v>86.86</v>
      </c>
      <c r="F637" s="7">
        <f t="shared" si="18"/>
        <v>703.96057500000006</v>
      </c>
      <c r="G637" s="8">
        <f t="shared" si="19"/>
        <v>466.74942500000003</v>
      </c>
      <c r="I637" t="str">
        <v>06-Jun</v>
      </c>
      <c r="L637" t="b">
        <v>0</v>
      </c>
      <c r="N637" t="b">
        <v>0</v>
      </c>
    </row>
    <row r="638" spans="1:14" x14ac:dyDescent="0.35">
      <c r="A638">
        <v>158.31</v>
      </c>
      <c r="B638">
        <v>5</v>
      </c>
      <c r="C638">
        <v>0.25269999999999998</v>
      </c>
      <c r="D638">
        <v>88.78</v>
      </c>
      <c r="F638" s="7">
        <f t="shared" si="18"/>
        <v>591.52531499999998</v>
      </c>
      <c r="G638" s="8">
        <f t="shared" si="19"/>
        <v>288.80468499999995</v>
      </c>
      <c r="I638" t="str">
        <v>03-Mar</v>
      </c>
      <c r="L638" t="b">
        <v>0</v>
      </c>
      <c r="N638" t="b">
        <v>0</v>
      </c>
    </row>
    <row r="639" spans="1:14" x14ac:dyDescent="0.35">
      <c r="A639">
        <v>246.46</v>
      </c>
      <c r="B639">
        <v>3</v>
      </c>
      <c r="C639">
        <v>0.30930000000000002</v>
      </c>
      <c r="D639">
        <v>54.44</v>
      </c>
      <c r="F639" s="7">
        <f t="shared" si="18"/>
        <v>510.68976599999996</v>
      </c>
      <c r="G639" s="8">
        <f t="shared" si="19"/>
        <v>283.13023399999997</v>
      </c>
      <c r="I639" t="str">
        <v>12-Dec</v>
      </c>
      <c r="L639" t="b">
        <v>0</v>
      </c>
      <c r="N639" t="b">
        <v>0</v>
      </c>
    </row>
    <row r="640" spans="1:14" x14ac:dyDescent="0.35">
      <c r="A640">
        <v>121.42</v>
      </c>
      <c r="B640">
        <v>5</v>
      </c>
      <c r="C640">
        <v>9.4800000000000009E-2</v>
      </c>
      <c r="D640">
        <v>89.31</v>
      </c>
      <c r="F640" s="7">
        <f t="shared" si="18"/>
        <v>549.54692</v>
      </c>
      <c r="G640" s="8">
        <f t="shared" si="19"/>
        <v>146.86308000000002</v>
      </c>
      <c r="I640" t="str">
        <v>09-Sep</v>
      </c>
      <c r="L640" t="b">
        <v>0</v>
      </c>
      <c r="N640" t="b">
        <v>0</v>
      </c>
    </row>
    <row r="641" spans="1:14" x14ac:dyDescent="0.35">
      <c r="A641">
        <v>373.93</v>
      </c>
      <c r="B641">
        <v>3</v>
      </c>
      <c r="C641">
        <v>9.8400000000000001E-2</v>
      </c>
      <c r="D641">
        <v>68.989999999999995</v>
      </c>
      <c r="F641" s="7">
        <f t="shared" si="18"/>
        <v>1011.405864</v>
      </c>
      <c r="G641" s="8">
        <f t="shared" si="19"/>
        <v>179.37413599999999</v>
      </c>
      <c r="I641" t="str">
        <v>07-Jul</v>
      </c>
      <c r="L641" t="b">
        <v>0</v>
      </c>
      <c r="N641" t="b">
        <v>0</v>
      </c>
    </row>
    <row r="642" spans="1:14" x14ac:dyDescent="0.35">
      <c r="A642">
        <v>330.37</v>
      </c>
      <c r="B642">
        <v>4</v>
      </c>
      <c r="C642">
        <v>0.4642</v>
      </c>
      <c r="D642">
        <v>92.47</v>
      </c>
      <c r="F642" s="7">
        <f t="shared" si="18"/>
        <v>708.04898400000013</v>
      </c>
      <c r="G642" s="8">
        <f t="shared" si="19"/>
        <v>705.90101600000003</v>
      </c>
      <c r="I642" t="str">
        <v>09-Sep</v>
      </c>
      <c r="L642" t="b">
        <v>0</v>
      </c>
      <c r="N642" t="b">
        <v>0</v>
      </c>
    </row>
    <row r="643" spans="1:14" x14ac:dyDescent="0.35">
      <c r="A643">
        <v>341.82</v>
      </c>
      <c r="B643">
        <v>5</v>
      </c>
      <c r="C643">
        <v>0.39429999999999998</v>
      </c>
      <c r="D643">
        <v>66.3</v>
      </c>
      <c r="F643" s="7">
        <f t="shared" ref="F643:F706" si="20">($A643*$B643)*(1-$C643)</f>
        <v>1035.2018699999999</v>
      </c>
      <c r="G643" s="8">
        <f t="shared" ref="G643:G706" si="21">D643+(A643*B643*C643)</f>
        <v>740.19812999999988</v>
      </c>
      <c r="I643" t="str">
        <v>11-Nov</v>
      </c>
      <c r="L643" t="b">
        <v>0</v>
      </c>
      <c r="N643" t="b">
        <v>0</v>
      </c>
    </row>
    <row r="644" spans="1:14" x14ac:dyDescent="0.35">
      <c r="A644">
        <v>87.94</v>
      </c>
      <c r="B644">
        <v>3</v>
      </c>
      <c r="C644">
        <v>0.46490000000000004</v>
      </c>
      <c r="D644">
        <v>50.46</v>
      </c>
      <c r="F644" s="7">
        <f t="shared" si="20"/>
        <v>141.17008199999998</v>
      </c>
      <c r="G644" s="8">
        <f t="shared" si="21"/>
        <v>173.10991799999999</v>
      </c>
      <c r="I644" t="str">
        <v>08-Aug</v>
      </c>
      <c r="L644" t="b">
        <v>0</v>
      </c>
      <c r="N644" t="b">
        <v>0</v>
      </c>
    </row>
    <row r="645" spans="1:14" x14ac:dyDescent="0.35">
      <c r="A645">
        <v>80.64</v>
      </c>
      <c r="B645">
        <v>4</v>
      </c>
      <c r="C645">
        <v>2.8500000000000001E-2</v>
      </c>
      <c r="D645">
        <v>36.76</v>
      </c>
      <c r="F645" s="7">
        <f t="shared" si="20"/>
        <v>313.36704000000003</v>
      </c>
      <c r="G645" s="8">
        <f t="shared" si="21"/>
        <v>45.952959999999997</v>
      </c>
      <c r="I645" t="str">
        <v>05-May</v>
      </c>
      <c r="L645" t="b">
        <v>0</v>
      </c>
      <c r="N645" t="b">
        <v>0</v>
      </c>
    </row>
    <row r="646" spans="1:14" x14ac:dyDescent="0.35">
      <c r="A646">
        <v>327.49</v>
      </c>
      <c r="B646">
        <v>4</v>
      </c>
      <c r="C646">
        <v>0.33</v>
      </c>
      <c r="D646">
        <v>17.309999999999999</v>
      </c>
      <c r="F646" s="7">
        <f t="shared" si="20"/>
        <v>877.67319999999995</v>
      </c>
      <c r="G646" s="8">
        <f t="shared" si="21"/>
        <v>449.59680000000003</v>
      </c>
      <c r="I646" t="str">
        <v>04-Apr</v>
      </c>
      <c r="L646" t="b">
        <v>0</v>
      </c>
      <c r="N646" t="b">
        <v>0</v>
      </c>
    </row>
    <row r="647" spans="1:14" x14ac:dyDescent="0.35">
      <c r="A647">
        <v>414.39</v>
      </c>
      <c r="B647">
        <v>4</v>
      </c>
      <c r="C647">
        <v>0.47220000000000001</v>
      </c>
      <c r="D647">
        <v>80.25</v>
      </c>
      <c r="F647" s="7">
        <f t="shared" si="20"/>
        <v>874.86016800000004</v>
      </c>
      <c r="G647" s="8">
        <f t="shared" si="21"/>
        <v>862.94983200000001</v>
      </c>
      <c r="I647" t="str">
        <v>02-Feb</v>
      </c>
      <c r="L647" t="b">
        <v>0</v>
      </c>
      <c r="N647" t="b">
        <v>0</v>
      </c>
    </row>
    <row r="648" spans="1:14" x14ac:dyDescent="0.35">
      <c r="A648">
        <v>164.51</v>
      </c>
      <c r="B648">
        <v>3</v>
      </c>
      <c r="C648">
        <v>9.2100000000000015E-2</v>
      </c>
      <c r="D648">
        <v>92.48</v>
      </c>
      <c r="F648" s="7">
        <f t="shared" si="20"/>
        <v>448.07588699999997</v>
      </c>
      <c r="G648" s="8">
        <f t="shared" si="21"/>
        <v>137.93411300000002</v>
      </c>
      <c r="I648" t="str">
        <v>04-Apr</v>
      </c>
      <c r="L648" t="b">
        <v>0</v>
      </c>
      <c r="N648" t="b">
        <v>0</v>
      </c>
    </row>
    <row r="649" spans="1:14" x14ac:dyDescent="0.35">
      <c r="A649">
        <v>121.41</v>
      </c>
      <c r="B649">
        <v>3</v>
      </c>
      <c r="C649">
        <v>0.49880000000000002</v>
      </c>
      <c r="D649">
        <v>87.66</v>
      </c>
      <c r="F649" s="7">
        <f t="shared" si="20"/>
        <v>182.552076</v>
      </c>
      <c r="G649" s="8">
        <f t="shared" si="21"/>
        <v>269.33792400000004</v>
      </c>
      <c r="I649" t="str">
        <v>04-Apr</v>
      </c>
      <c r="L649" t="b">
        <v>0</v>
      </c>
      <c r="N649" t="b">
        <v>0</v>
      </c>
    </row>
    <row r="650" spans="1:14" x14ac:dyDescent="0.35">
      <c r="A650">
        <v>187.74</v>
      </c>
      <c r="B650">
        <v>4</v>
      </c>
      <c r="C650">
        <v>0.29620000000000002</v>
      </c>
      <c r="D650">
        <v>23.43</v>
      </c>
      <c r="F650" s="7">
        <f t="shared" si="20"/>
        <v>528.52564800000005</v>
      </c>
      <c r="G650" s="8">
        <f t="shared" si="21"/>
        <v>245.86435200000003</v>
      </c>
      <c r="I650" t="str">
        <v>08-Aug</v>
      </c>
      <c r="L650" t="b">
        <v>0</v>
      </c>
      <c r="N650" t="b">
        <v>0</v>
      </c>
    </row>
    <row r="651" spans="1:14" x14ac:dyDescent="0.35">
      <c r="A651">
        <v>75.38</v>
      </c>
      <c r="B651">
        <v>5</v>
      </c>
      <c r="C651">
        <v>0.46479999999999999</v>
      </c>
      <c r="D651">
        <v>20.53</v>
      </c>
      <c r="F651" s="7">
        <f t="shared" si="20"/>
        <v>201.71688</v>
      </c>
      <c r="G651" s="8">
        <f t="shared" si="21"/>
        <v>195.71311999999998</v>
      </c>
      <c r="I651" t="str">
        <v>05-May</v>
      </c>
      <c r="L651" t="b">
        <v>0</v>
      </c>
      <c r="N651" t="b">
        <v>0</v>
      </c>
    </row>
    <row r="652" spans="1:14" x14ac:dyDescent="0.35">
      <c r="A652">
        <v>265.64</v>
      </c>
      <c r="B652">
        <v>3</v>
      </c>
      <c r="C652">
        <v>0.36849999999999999</v>
      </c>
      <c r="D652">
        <v>34.700000000000003</v>
      </c>
      <c r="F652" s="7">
        <f t="shared" si="20"/>
        <v>503.25497999999993</v>
      </c>
      <c r="G652" s="8">
        <f t="shared" si="21"/>
        <v>328.36501999999996</v>
      </c>
      <c r="I652" t="str">
        <v>07-Jul</v>
      </c>
      <c r="L652" t="b">
        <v>0</v>
      </c>
      <c r="N652" t="b">
        <v>0</v>
      </c>
    </row>
    <row r="653" spans="1:14" x14ac:dyDescent="0.35">
      <c r="A653">
        <v>464.3</v>
      </c>
      <c r="B653">
        <v>5</v>
      </c>
      <c r="C653">
        <v>9.1300000000000006E-2</v>
      </c>
      <c r="D653">
        <v>39.71</v>
      </c>
      <c r="F653" s="7">
        <f t="shared" si="20"/>
        <v>2109.5470499999997</v>
      </c>
      <c r="G653" s="8">
        <f t="shared" si="21"/>
        <v>251.66295000000002</v>
      </c>
      <c r="I653" t="str">
        <v>09-Sep</v>
      </c>
      <c r="L653" t="b">
        <v>0</v>
      </c>
      <c r="N653" t="b">
        <v>0</v>
      </c>
    </row>
    <row r="654" spans="1:14" x14ac:dyDescent="0.35">
      <c r="A654">
        <v>167.83</v>
      </c>
      <c r="B654">
        <v>3</v>
      </c>
      <c r="C654">
        <v>0.48880000000000001</v>
      </c>
      <c r="D654">
        <v>86.08</v>
      </c>
      <c r="F654" s="7">
        <f t="shared" si="20"/>
        <v>257.38408800000002</v>
      </c>
      <c r="G654" s="8">
        <f t="shared" si="21"/>
        <v>332.18591200000003</v>
      </c>
      <c r="I654" t="str">
        <v>08-Aug</v>
      </c>
      <c r="L654" t="b">
        <v>0</v>
      </c>
      <c r="N654" t="b">
        <v>0</v>
      </c>
    </row>
    <row r="655" spans="1:14" x14ac:dyDescent="0.35">
      <c r="A655">
        <v>228.5</v>
      </c>
      <c r="B655">
        <v>4</v>
      </c>
      <c r="C655">
        <v>0.21929999999999999</v>
      </c>
      <c r="D655">
        <v>61.7</v>
      </c>
      <c r="F655" s="7">
        <f t="shared" si="20"/>
        <v>713.5598</v>
      </c>
      <c r="G655" s="8">
        <f t="shared" si="21"/>
        <v>262.14019999999999</v>
      </c>
      <c r="I655" t="str">
        <v>06-Jun</v>
      </c>
      <c r="L655" t="b">
        <v>0</v>
      </c>
      <c r="N655" t="b">
        <v>0</v>
      </c>
    </row>
    <row r="656" spans="1:14" x14ac:dyDescent="0.35">
      <c r="A656">
        <v>497.99</v>
      </c>
      <c r="B656">
        <v>4</v>
      </c>
      <c r="C656">
        <v>0.47749999999999998</v>
      </c>
      <c r="D656">
        <v>69.12</v>
      </c>
      <c r="F656" s="7">
        <f t="shared" si="20"/>
        <v>1040.7991</v>
      </c>
      <c r="G656" s="8">
        <f t="shared" si="21"/>
        <v>1020.2809</v>
      </c>
      <c r="I656" t="str">
        <v>06-Jun</v>
      </c>
      <c r="L656" t="b">
        <v>0</v>
      </c>
      <c r="N656" t="b">
        <v>0</v>
      </c>
    </row>
    <row r="657" spans="1:14" x14ac:dyDescent="0.35">
      <c r="A657">
        <v>460.78</v>
      </c>
      <c r="B657">
        <v>4</v>
      </c>
      <c r="C657">
        <v>0.1177</v>
      </c>
      <c r="D657">
        <v>75.040000000000006</v>
      </c>
      <c r="F657" s="7">
        <f t="shared" si="20"/>
        <v>1626.1847759999998</v>
      </c>
      <c r="G657" s="8">
        <f t="shared" si="21"/>
        <v>291.97522399999997</v>
      </c>
      <c r="I657" t="str">
        <v>08-Aug</v>
      </c>
      <c r="L657" t="b">
        <v>0</v>
      </c>
      <c r="N657" t="b">
        <v>0</v>
      </c>
    </row>
    <row r="658" spans="1:14" x14ac:dyDescent="0.35">
      <c r="A658">
        <v>427.53</v>
      </c>
      <c r="B658">
        <v>5</v>
      </c>
      <c r="C658">
        <v>0.28739999999999999</v>
      </c>
      <c r="D658">
        <v>63.7</v>
      </c>
      <c r="F658" s="7">
        <f t="shared" si="20"/>
        <v>1523.2893899999997</v>
      </c>
      <c r="G658" s="8">
        <f t="shared" si="21"/>
        <v>678.06060999999988</v>
      </c>
      <c r="I658" t="str">
        <v>03-Mar</v>
      </c>
      <c r="L658" t="b">
        <v>0</v>
      </c>
      <c r="N658" t="b">
        <v>0</v>
      </c>
    </row>
    <row r="659" spans="1:14" x14ac:dyDescent="0.35">
      <c r="A659">
        <v>92.83</v>
      </c>
      <c r="B659">
        <v>5</v>
      </c>
      <c r="C659">
        <v>0.4294</v>
      </c>
      <c r="D659">
        <v>34.36</v>
      </c>
      <c r="F659" s="7">
        <f t="shared" si="20"/>
        <v>264.84398999999996</v>
      </c>
      <c r="G659" s="8">
        <f t="shared" si="21"/>
        <v>233.66600999999997</v>
      </c>
      <c r="I659" t="str">
        <v>07-Jul</v>
      </c>
      <c r="L659" t="b">
        <v>0</v>
      </c>
      <c r="N659" t="b">
        <v>0</v>
      </c>
    </row>
    <row r="660" spans="1:14" x14ac:dyDescent="0.35">
      <c r="A660">
        <v>396.38</v>
      </c>
      <c r="B660">
        <v>3</v>
      </c>
      <c r="C660">
        <v>0.2979</v>
      </c>
      <c r="D660">
        <v>79.849999999999994</v>
      </c>
      <c r="F660" s="7">
        <f t="shared" si="20"/>
        <v>834.89519399999983</v>
      </c>
      <c r="G660" s="8">
        <f t="shared" si="21"/>
        <v>434.09480599999995</v>
      </c>
      <c r="I660" t="str">
        <v>01-Jan</v>
      </c>
      <c r="L660" t="b">
        <v>1</v>
      </c>
      <c r="N660" t="b">
        <v>0</v>
      </c>
    </row>
    <row r="661" spans="1:14" x14ac:dyDescent="0.35">
      <c r="A661">
        <v>299.92</v>
      </c>
      <c r="B661">
        <v>4</v>
      </c>
      <c r="C661">
        <v>0.49170000000000003</v>
      </c>
      <c r="D661">
        <v>93.01</v>
      </c>
      <c r="F661" s="7">
        <f t="shared" si="20"/>
        <v>609.79734399999995</v>
      </c>
      <c r="G661" s="8">
        <f t="shared" si="21"/>
        <v>682.8926560000001</v>
      </c>
      <c r="I661" t="str">
        <v>01-Jan</v>
      </c>
      <c r="L661" t="b">
        <v>1</v>
      </c>
      <c r="N661" t="b">
        <v>0</v>
      </c>
    </row>
    <row r="662" spans="1:14" x14ac:dyDescent="0.35">
      <c r="A662">
        <v>105.54</v>
      </c>
      <c r="B662">
        <v>5</v>
      </c>
      <c r="C662">
        <v>0.188</v>
      </c>
      <c r="D662">
        <v>38.799999999999997</v>
      </c>
      <c r="F662" s="7">
        <f t="shared" si="20"/>
        <v>428.49240000000009</v>
      </c>
      <c r="G662" s="8">
        <f t="shared" si="21"/>
        <v>138.00760000000002</v>
      </c>
      <c r="I662" t="str">
        <v>05-May</v>
      </c>
      <c r="L662" t="b">
        <v>0</v>
      </c>
      <c r="N662" t="b">
        <v>0</v>
      </c>
    </row>
    <row r="663" spans="1:14" x14ac:dyDescent="0.35">
      <c r="A663">
        <v>283.14</v>
      </c>
      <c r="B663">
        <v>3</v>
      </c>
      <c r="C663">
        <v>0.47740000000000005</v>
      </c>
      <c r="D663">
        <v>70.89</v>
      </c>
      <c r="F663" s="7">
        <f t="shared" si="20"/>
        <v>443.90689199999991</v>
      </c>
      <c r="G663" s="8">
        <f t="shared" si="21"/>
        <v>476.40310800000003</v>
      </c>
      <c r="I663" t="str">
        <v>11-Nov</v>
      </c>
      <c r="L663" t="b">
        <v>0</v>
      </c>
      <c r="N663" t="b">
        <v>0</v>
      </c>
    </row>
    <row r="664" spans="1:14" x14ac:dyDescent="0.35">
      <c r="A664">
        <v>145.21</v>
      </c>
      <c r="B664">
        <v>4</v>
      </c>
      <c r="C664">
        <v>0.26219999999999999</v>
      </c>
      <c r="D664">
        <v>98.21</v>
      </c>
      <c r="F664" s="7">
        <f t="shared" si="20"/>
        <v>428.54375200000004</v>
      </c>
      <c r="G664" s="8">
        <f t="shared" si="21"/>
        <v>250.50624799999997</v>
      </c>
      <c r="I664" t="str">
        <v>04-Apr</v>
      </c>
      <c r="L664" t="b">
        <v>0</v>
      </c>
      <c r="N664" t="b">
        <v>0</v>
      </c>
    </row>
    <row r="665" spans="1:14" x14ac:dyDescent="0.35">
      <c r="A665">
        <v>368.43</v>
      </c>
      <c r="B665">
        <v>4</v>
      </c>
      <c r="C665">
        <v>0.13159999999999999</v>
      </c>
      <c r="D665">
        <v>24.1</v>
      </c>
      <c r="F665" s="7">
        <f t="shared" si="20"/>
        <v>1279.778448</v>
      </c>
      <c r="G665" s="8">
        <f t="shared" si="21"/>
        <v>218.041552</v>
      </c>
      <c r="I665" t="str">
        <v>08-Aug</v>
      </c>
      <c r="L665" t="b">
        <v>0</v>
      </c>
      <c r="N665" t="b">
        <v>0</v>
      </c>
    </row>
    <row r="666" spans="1:14" x14ac:dyDescent="0.35">
      <c r="A666">
        <v>355.42</v>
      </c>
      <c r="B666">
        <v>4</v>
      </c>
      <c r="C666">
        <v>4.1900000000000007E-2</v>
      </c>
      <c r="D666">
        <v>99.45</v>
      </c>
      <c r="F666" s="7">
        <f t="shared" si="20"/>
        <v>1362.1116079999999</v>
      </c>
      <c r="G666" s="8">
        <f t="shared" si="21"/>
        <v>159.01839200000001</v>
      </c>
      <c r="I666" t="str">
        <v>01-Jan</v>
      </c>
      <c r="L666" t="b">
        <v>1</v>
      </c>
      <c r="N666" t="b">
        <v>0</v>
      </c>
    </row>
    <row r="667" spans="1:14" x14ac:dyDescent="0.35">
      <c r="A667">
        <v>362.36</v>
      </c>
      <c r="B667">
        <v>4</v>
      </c>
      <c r="C667">
        <v>0.2361</v>
      </c>
      <c r="D667">
        <v>57.19</v>
      </c>
      <c r="F667" s="7">
        <f t="shared" si="20"/>
        <v>1107.227216</v>
      </c>
      <c r="G667" s="8">
        <f t="shared" si="21"/>
        <v>399.402784</v>
      </c>
      <c r="I667" t="str">
        <v>08-Aug</v>
      </c>
      <c r="L667" t="b">
        <v>0</v>
      </c>
      <c r="N667" t="b">
        <v>0</v>
      </c>
    </row>
    <row r="668" spans="1:14" x14ac:dyDescent="0.35">
      <c r="A668">
        <v>311.89999999999998</v>
      </c>
      <c r="B668">
        <v>3</v>
      </c>
      <c r="C668">
        <v>0.36749999999999999</v>
      </c>
      <c r="D668">
        <v>21.94</v>
      </c>
      <c r="F668" s="7">
        <f t="shared" si="20"/>
        <v>591.83024999999998</v>
      </c>
      <c r="G668" s="8">
        <f t="shared" si="21"/>
        <v>365.80974999999995</v>
      </c>
      <c r="I668" t="str">
        <v>09-Sep</v>
      </c>
      <c r="L668" t="b">
        <v>0</v>
      </c>
      <c r="N668" t="b">
        <v>0</v>
      </c>
    </row>
    <row r="669" spans="1:14" x14ac:dyDescent="0.35">
      <c r="A669">
        <v>228.05</v>
      </c>
      <c r="B669">
        <v>5</v>
      </c>
      <c r="C669">
        <v>0.34909999999999997</v>
      </c>
      <c r="D669">
        <v>53.52</v>
      </c>
      <c r="F669" s="7">
        <f t="shared" si="20"/>
        <v>742.18872500000009</v>
      </c>
      <c r="G669" s="8">
        <f t="shared" si="21"/>
        <v>451.58127499999995</v>
      </c>
      <c r="I669" t="str">
        <v>01-Jan</v>
      </c>
      <c r="L669" t="b">
        <v>1</v>
      </c>
      <c r="N669" t="b">
        <v>0</v>
      </c>
    </row>
    <row r="670" spans="1:14" x14ac:dyDescent="0.35">
      <c r="A670">
        <v>187.43</v>
      </c>
      <c r="B670">
        <v>3</v>
      </c>
      <c r="C670">
        <v>0.36950000000000005</v>
      </c>
      <c r="D670">
        <v>71.709999999999994</v>
      </c>
      <c r="F670" s="7">
        <f t="shared" si="20"/>
        <v>354.52384499999994</v>
      </c>
      <c r="G670" s="8">
        <f t="shared" si="21"/>
        <v>279.47615500000001</v>
      </c>
      <c r="I670" t="str">
        <v>07-Jul</v>
      </c>
      <c r="L670" t="b">
        <v>0</v>
      </c>
      <c r="N670" t="b">
        <v>0</v>
      </c>
    </row>
    <row r="671" spans="1:14" x14ac:dyDescent="0.35">
      <c r="A671">
        <v>295.57</v>
      </c>
      <c r="B671">
        <v>3</v>
      </c>
      <c r="C671">
        <v>0.248</v>
      </c>
      <c r="D671">
        <v>91.71</v>
      </c>
      <c r="F671" s="7">
        <f t="shared" si="20"/>
        <v>666.80592000000001</v>
      </c>
      <c r="G671" s="8">
        <f t="shared" si="21"/>
        <v>311.61408</v>
      </c>
      <c r="I671" t="str">
        <v>08-Aug</v>
      </c>
      <c r="L671" t="b">
        <v>0</v>
      </c>
      <c r="N671" t="b">
        <v>0</v>
      </c>
    </row>
    <row r="672" spans="1:14" x14ac:dyDescent="0.35">
      <c r="A672">
        <v>232.06</v>
      </c>
      <c r="B672">
        <v>3</v>
      </c>
      <c r="C672">
        <v>8.1500000000000003E-2</v>
      </c>
      <c r="D672">
        <v>82.27</v>
      </c>
      <c r="F672" s="7">
        <f t="shared" si="20"/>
        <v>639.44132999999999</v>
      </c>
      <c r="G672" s="8">
        <f t="shared" si="21"/>
        <v>139.00867</v>
      </c>
      <c r="I672" t="str">
        <v>08-Aug</v>
      </c>
      <c r="L672" t="b">
        <v>0</v>
      </c>
      <c r="N672" t="b">
        <v>0</v>
      </c>
    </row>
    <row r="673" spans="1:14" x14ac:dyDescent="0.35">
      <c r="A673">
        <v>117.21</v>
      </c>
      <c r="B673">
        <v>5</v>
      </c>
      <c r="C673">
        <v>0.42659999999999998</v>
      </c>
      <c r="D673">
        <v>29.06</v>
      </c>
      <c r="F673" s="7">
        <f t="shared" si="20"/>
        <v>336.04106999999999</v>
      </c>
      <c r="G673" s="8">
        <f t="shared" si="21"/>
        <v>279.06892999999997</v>
      </c>
      <c r="I673" t="str">
        <v>10-Oct</v>
      </c>
      <c r="L673" t="b">
        <v>0</v>
      </c>
      <c r="N673" t="b">
        <v>0</v>
      </c>
    </row>
    <row r="674" spans="1:14" x14ac:dyDescent="0.35">
      <c r="A674">
        <v>121.26</v>
      </c>
      <c r="B674">
        <v>5</v>
      </c>
      <c r="C674">
        <v>0.33329999999999999</v>
      </c>
      <c r="D674">
        <v>33.119999999999997</v>
      </c>
      <c r="F674" s="7">
        <f t="shared" si="20"/>
        <v>404.22021000000007</v>
      </c>
      <c r="G674" s="8">
        <f t="shared" si="21"/>
        <v>235.19979000000001</v>
      </c>
      <c r="I674" t="str">
        <v>11-Nov</v>
      </c>
      <c r="L674" t="b">
        <v>0</v>
      </c>
      <c r="N674" t="b">
        <v>0</v>
      </c>
    </row>
    <row r="675" spans="1:14" x14ac:dyDescent="0.35">
      <c r="A675">
        <v>225.77</v>
      </c>
      <c r="B675">
        <v>4</v>
      </c>
      <c r="C675">
        <v>0.15210000000000001</v>
      </c>
      <c r="D675">
        <v>26.74</v>
      </c>
      <c r="F675" s="7">
        <f t="shared" si="20"/>
        <v>765.72153200000002</v>
      </c>
      <c r="G675" s="8">
        <f t="shared" si="21"/>
        <v>164.09846800000003</v>
      </c>
      <c r="I675" t="str">
        <v>08-Aug</v>
      </c>
      <c r="L675" t="b">
        <v>0</v>
      </c>
      <c r="N675" t="b">
        <v>0</v>
      </c>
    </row>
    <row r="676" spans="1:14" x14ac:dyDescent="0.35">
      <c r="A676">
        <v>204.16</v>
      </c>
      <c r="B676">
        <v>4</v>
      </c>
      <c r="C676">
        <v>0.2213</v>
      </c>
      <c r="D676">
        <v>77.959999999999994</v>
      </c>
      <c r="F676" s="7">
        <f t="shared" si="20"/>
        <v>635.91756799999996</v>
      </c>
      <c r="G676" s="8">
        <f t="shared" si="21"/>
        <v>258.68243200000001</v>
      </c>
      <c r="I676" t="str">
        <v>10-Oct</v>
      </c>
      <c r="L676" t="b">
        <v>0</v>
      </c>
      <c r="N676" t="b">
        <v>0</v>
      </c>
    </row>
    <row r="677" spans="1:14" x14ac:dyDescent="0.35">
      <c r="A677">
        <v>115.81</v>
      </c>
      <c r="B677">
        <v>5</v>
      </c>
      <c r="C677">
        <v>0.32130000000000003</v>
      </c>
      <c r="D677">
        <v>30.09</v>
      </c>
      <c r="F677" s="7">
        <f t="shared" si="20"/>
        <v>393.00123499999995</v>
      </c>
      <c r="G677" s="8">
        <f t="shared" si="21"/>
        <v>216.13876500000001</v>
      </c>
      <c r="I677" t="str">
        <v>12-Dec</v>
      </c>
      <c r="L677" t="b">
        <v>0</v>
      </c>
      <c r="N677" t="b">
        <v>0</v>
      </c>
    </row>
    <row r="678" spans="1:14" x14ac:dyDescent="0.35">
      <c r="A678">
        <v>227.41</v>
      </c>
      <c r="B678">
        <v>4</v>
      </c>
      <c r="C678">
        <v>5.91E-2</v>
      </c>
      <c r="D678">
        <v>99.68</v>
      </c>
      <c r="F678" s="7">
        <f t="shared" si="20"/>
        <v>855.88027599999998</v>
      </c>
      <c r="G678" s="8">
        <f t="shared" si="21"/>
        <v>153.43972400000001</v>
      </c>
      <c r="I678" t="str">
        <v>11-Nov</v>
      </c>
      <c r="L678" t="b">
        <v>0</v>
      </c>
      <c r="N678" t="b">
        <v>0</v>
      </c>
    </row>
    <row r="679" spans="1:14" x14ac:dyDescent="0.35">
      <c r="A679">
        <v>309.99</v>
      </c>
      <c r="B679">
        <v>3</v>
      </c>
      <c r="C679">
        <v>8.5900000000000004E-2</v>
      </c>
      <c r="D679">
        <v>16.66</v>
      </c>
      <c r="F679" s="7">
        <f t="shared" si="20"/>
        <v>850.08557700000006</v>
      </c>
      <c r="G679" s="8">
        <f t="shared" si="21"/>
        <v>96.544423000000009</v>
      </c>
      <c r="I679" t="str">
        <v>04-Apr</v>
      </c>
      <c r="L679" t="b">
        <v>0</v>
      </c>
      <c r="N679" t="b">
        <v>0</v>
      </c>
    </row>
    <row r="680" spans="1:14" x14ac:dyDescent="0.35">
      <c r="A680">
        <v>467.41</v>
      </c>
      <c r="B680">
        <v>5</v>
      </c>
      <c r="C680">
        <v>6.9500000000000006E-2</v>
      </c>
      <c r="D680">
        <v>96.6</v>
      </c>
      <c r="F680" s="7">
        <f t="shared" si="20"/>
        <v>2174.6250250000003</v>
      </c>
      <c r="G680" s="8">
        <f t="shared" si="21"/>
        <v>259.02497500000004</v>
      </c>
      <c r="I680" t="str">
        <v>09-Sep</v>
      </c>
      <c r="L680" t="b">
        <v>0</v>
      </c>
      <c r="N680" t="b">
        <v>0</v>
      </c>
    </row>
    <row r="681" spans="1:14" x14ac:dyDescent="0.35">
      <c r="A681">
        <v>318.52999999999997</v>
      </c>
      <c r="B681">
        <v>3</v>
      </c>
      <c r="C681">
        <v>0.4556</v>
      </c>
      <c r="D681">
        <v>76.97</v>
      </c>
      <c r="F681" s="7">
        <f t="shared" si="20"/>
        <v>520.22319599999992</v>
      </c>
      <c r="G681" s="8">
        <f t="shared" si="21"/>
        <v>512.33680399999992</v>
      </c>
      <c r="I681" t="str">
        <v>07-Jul</v>
      </c>
      <c r="L681" t="b">
        <v>0</v>
      </c>
      <c r="N681" t="b">
        <v>0</v>
      </c>
    </row>
    <row r="682" spans="1:14" x14ac:dyDescent="0.35">
      <c r="A682">
        <v>494.76</v>
      </c>
      <c r="B682">
        <v>3</v>
      </c>
      <c r="C682">
        <v>0.32450000000000001</v>
      </c>
      <c r="D682">
        <v>22.32</v>
      </c>
      <c r="F682" s="7">
        <f t="shared" si="20"/>
        <v>1002.63114</v>
      </c>
      <c r="G682" s="8">
        <f t="shared" si="21"/>
        <v>503.96886000000001</v>
      </c>
      <c r="I682" t="str">
        <v>08-Aug</v>
      </c>
      <c r="L682" t="b">
        <v>0</v>
      </c>
      <c r="N682" t="b">
        <v>0</v>
      </c>
    </row>
    <row r="683" spans="1:14" x14ac:dyDescent="0.35">
      <c r="A683">
        <v>188.17</v>
      </c>
      <c r="B683">
        <v>4</v>
      </c>
      <c r="C683">
        <v>0.49159999999999998</v>
      </c>
      <c r="D683">
        <v>16.61</v>
      </c>
      <c r="F683" s="7">
        <f t="shared" si="20"/>
        <v>382.66251199999994</v>
      </c>
      <c r="G683" s="8">
        <f t="shared" si="21"/>
        <v>386.62748799999997</v>
      </c>
      <c r="I683" t="str">
        <v>01-Jan</v>
      </c>
      <c r="L683" t="b">
        <v>1</v>
      </c>
      <c r="N683" t="b">
        <v>0</v>
      </c>
    </row>
    <row r="684" spans="1:14" x14ac:dyDescent="0.35">
      <c r="A684">
        <v>387.31</v>
      </c>
      <c r="B684">
        <v>4</v>
      </c>
      <c r="C684">
        <v>0.27449999999999997</v>
      </c>
      <c r="D684">
        <v>31.16</v>
      </c>
      <c r="F684" s="7">
        <f t="shared" si="20"/>
        <v>1123.97362</v>
      </c>
      <c r="G684" s="8">
        <f t="shared" si="21"/>
        <v>456.42637999999999</v>
      </c>
      <c r="I684" t="str">
        <v>05-May</v>
      </c>
      <c r="L684" t="b">
        <v>0</v>
      </c>
      <c r="N684" t="b">
        <v>0</v>
      </c>
    </row>
    <row r="685" spans="1:14" x14ac:dyDescent="0.35">
      <c r="A685">
        <v>211.38</v>
      </c>
      <c r="B685">
        <v>3</v>
      </c>
      <c r="C685">
        <v>0.1115</v>
      </c>
      <c r="D685">
        <v>91.54</v>
      </c>
      <c r="F685" s="7">
        <f t="shared" si="20"/>
        <v>563.43338999999992</v>
      </c>
      <c r="G685" s="8">
        <f t="shared" si="21"/>
        <v>162.24661</v>
      </c>
      <c r="I685" t="str">
        <v>09-Sep</v>
      </c>
      <c r="L685" t="b">
        <v>0</v>
      </c>
      <c r="N685" t="b">
        <v>0</v>
      </c>
    </row>
    <row r="686" spans="1:14" x14ac:dyDescent="0.35">
      <c r="A686">
        <v>284.12</v>
      </c>
      <c r="B686">
        <v>3</v>
      </c>
      <c r="C686">
        <v>0.21929999999999999</v>
      </c>
      <c r="D686">
        <v>47.7</v>
      </c>
      <c r="F686" s="7">
        <f t="shared" si="20"/>
        <v>665.43745200000001</v>
      </c>
      <c r="G686" s="8">
        <f t="shared" si="21"/>
        <v>234.62254799999999</v>
      </c>
      <c r="I686" t="str">
        <v>06-Jun</v>
      </c>
      <c r="L686" t="b">
        <v>0</v>
      </c>
      <c r="N686" t="b">
        <v>0</v>
      </c>
    </row>
    <row r="687" spans="1:14" x14ac:dyDescent="0.35">
      <c r="A687">
        <v>257.97000000000003</v>
      </c>
      <c r="B687">
        <v>3</v>
      </c>
      <c r="C687">
        <v>0.436</v>
      </c>
      <c r="D687">
        <v>65.59</v>
      </c>
      <c r="F687" s="7">
        <f t="shared" si="20"/>
        <v>436.48524000000009</v>
      </c>
      <c r="G687" s="8">
        <f t="shared" si="21"/>
        <v>403.01476000000002</v>
      </c>
      <c r="I687" t="str">
        <v>03-Mar</v>
      </c>
      <c r="L687" t="b">
        <v>0</v>
      </c>
      <c r="N687" t="b">
        <v>0</v>
      </c>
    </row>
    <row r="688" spans="1:14" x14ac:dyDescent="0.35">
      <c r="A688">
        <v>374.39</v>
      </c>
      <c r="B688">
        <v>4</v>
      </c>
      <c r="C688">
        <v>1.03E-2</v>
      </c>
      <c r="D688">
        <v>72.180000000000007</v>
      </c>
      <c r="F688" s="7">
        <f t="shared" si="20"/>
        <v>1482.1351319999999</v>
      </c>
      <c r="G688" s="8">
        <f t="shared" si="21"/>
        <v>87.60486800000001</v>
      </c>
      <c r="I688" t="str">
        <v>11-Nov</v>
      </c>
      <c r="L688" t="b">
        <v>0</v>
      </c>
      <c r="N688" t="b">
        <v>0</v>
      </c>
    </row>
    <row r="689" spans="1:14" x14ac:dyDescent="0.35">
      <c r="A689">
        <v>381.74</v>
      </c>
      <c r="B689">
        <v>4</v>
      </c>
      <c r="C689">
        <v>0.17620000000000002</v>
      </c>
      <c r="D689">
        <v>10.58</v>
      </c>
      <c r="F689" s="7">
        <f t="shared" si="20"/>
        <v>1257.9096480000001</v>
      </c>
      <c r="G689" s="8">
        <f t="shared" si="21"/>
        <v>279.63035200000002</v>
      </c>
      <c r="I689" t="str">
        <v>04-Apr</v>
      </c>
      <c r="L689" t="b">
        <v>0</v>
      </c>
      <c r="N689" t="b">
        <v>0</v>
      </c>
    </row>
    <row r="690" spans="1:14" x14ac:dyDescent="0.35">
      <c r="A690">
        <v>401.9</v>
      </c>
      <c r="B690">
        <v>3</v>
      </c>
      <c r="C690">
        <v>0.38319999999999999</v>
      </c>
      <c r="D690">
        <v>31.17</v>
      </c>
      <c r="F690" s="7">
        <f t="shared" si="20"/>
        <v>743.67575999999985</v>
      </c>
      <c r="G690" s="8">
        <f t="shared" si="21"/>
        <v>493.19423999999992</v>
      </c>
      <c r="I690" t="str">
        <v>11-Nov</v>
      </c>
      <c r="L690" t="b">
        <v>0</v>
      </c>
      <c r="N690" t="b">
        <v>0</v>
      </c>
    </row>
    <row r="691" spans="1:14" x14ac:dyDescent="0.35">
      <c r="A691">
        <v>93.68</v>
      </c>
      <c r="B691">
        <v>4</v>
      </c>
      <c r="C691">
        <v>3.3500000000000002E-2</v>
      </c>
      <c r="D691">
        <v>56.88</v>
      </c>
      <c r="F691" s="7">
        <f t="shared" si="20"/>
        <v>362.16688000000005</v>
      </c>
      <c r="G691" s="8">
        <f t="shared" si="21"/>
        <v>69.433120000000002</v>
      </c>
      <c r="I691" t="str">
        <v>12-Dec</v>
      </c>
      <c r="L691" t="b">
        <v>0</v>
      </c>
      <c r="N691" t="b">
        <v>0</v>
      </c>
    </row>
    <row r="692" spans="1:14" x14ac:dyDescent="0.35">
      <c r="A692">
        <v>174.76</v>
      </c>
      <c r="B692">
        <v>4</v>
      </c>
      <c r="C692">
        <v>2.52E-2</v>
      </c>
      <c r="D692">
        <v>17.32</v>
      </c>
      <c r="F692" s="7">
        <f t="shared" si="20"/>
        <v>681.42419199999995</v>
      </c>
      <c r="G692" s="8">
        <f t="shared" si="21"/>
        <v>34.935807999999994</v>
      </c>
      <c r="I692" t="str">
        <v>12-Dec</v>
      </c>
      <c r="L692" t="b">
        <v>0</v>
      </c>
      <c r="N692" t="b">
        <v>0</v>
      </c>
    </row>
    <row r="693" spans="1:14" x14ac:dyDescent="0.35">
      <c r="A693">
        <v>232.72</v>
      </c>
      <c r="B693">
        <v>5</v>
      </c>
      <c r="C693">
        <v>0.22339999999999999</v>
      </c>
      <c r="D693">
        <v>74.66</v>
      </c>
      <c r="F693" s="7">
        <f t="shared" si="20"/>
        <v>903.65175999999985</v>
      </c>
      <c r="G693" s="8">
        <f t="shared" si="21"/>
        <v>334.60823999999991</v>
      </c>
      <c r="I693" t="str">
        <v>07-Jul</v>
      </c>
      <c r="L693" t="b">
        <v>0</v>
      </c>
      <c r="N693" t="b">
        <v>0</v>
      </c>
    </row>
    <row r="694" spans="1:14" x14ac:dyDescent="0.35">
      <c r="A694">
        <v>345.79</v>
      </c>
      <c r="B694">
        <v>4</v>
      </c>
      <c r="C694">
        <v>0.2626</v>
      </c>
      <c r="D694">
        <v>63</v>
      </c>
      <c r="F694" s="7">
        <f t="shared" si="20"/>
        <v>1019.9421840000001</v>
      </c>
      <c r="G694" s="8">
        <f t="shared" si="21"/>
        <v>426.21781600000003</v>
      </c>
      <c r="I694" t="str">
        <v>03-Mar</v>
      </c>
      <c r="L694" t="b">
        <v>0</v>
      </c>
      <c r="N694" t="b">
        <v>0</v>
      </c>
    </row>
    <row r="695" spans="1:14" x14ac:dyDescent="0.35">
      <c r="A695">
        <v>284.7</v>
      </c>
      <c r="B695">
        <v>3</v>
      </c>
      <c r="C695">
        <v>0.14410000000000001</v>
      </c>
      <c r="D695">
        <v>92.35</v>
      </c>
      <c r="F695" s="7">
        <f t="shared" si="20"/>
        <v>731.02418999999986</v>
      </c>
      <c r="G695" s="8">
        <f t="shared" si="21"/>
        <v>215.42580999999998</v>
      </c>
      <c r="I695" t="str">
        <v>01-Jan</v>
      </c>
      <c r="L695" t="b">
        <v>1</v>
      </c>
      <c r="N695" t="b">
        <v>0</v>
      </c>
    </row>
    <row r="696" spans="1:14" x14ac:dyDescent="0.35">
      <c r="A696">
        <v>469.51</v>
      </c>
      <c r="B696">
        <v>4</v>
      </c>
      <c r="C696">
        <v>0.16260000000000002</v>
      </c>
      <c r="D696">
        <v>64.66</v>
      </c>
      <c r="F696" s="7">
        <f t="shared" si="20"/>
        <v>1572.6706959999999</v>
      </c>
      <c r="G696" s="8">
        <f t="shared" si="21"/>
        <v>370.02930400000002</v>
      </c>
      <c r="I696" t="str">
        <v>07-Jul</v>
      </c>
      <c r="L696" t="b">
        <v>0</v>
      </c>
      <c r="N696" t="b">
        <v>0</v>
      </c>
    </row>
    <row r="697" spans="1:14" x14ac:dyDescent="0.35">
      <c r="A697">
        <v>289.57</v>
      </c>
      <c r="B697">
        <v>4</v>
      </c>
      <c r="C697">
        <v>0.37359999999999999</v>
      </c>
      <c r="D697">
        <v>26.22</v>
      </c>
      <c r="F697" s="7">
        <f t="shared" si="20"/>
        <v>725.54659200000003</v>
      </c>
      <c r="G697" s="8">
        <f t="shared" si="21"/>
        <v>458.95340799999997</v>
      </c>
      <c r="I697" t="str">
        <v>06-Jun</v>
      </c>
      <c r="L697" t="b">
        <v>0</v>
      </c>
      <c r="N697" t="b">
        <v>0</v>
      </c>
    </row>
    <row r="698" spans="1:14" x14ac:dyDescent="0.35">
      <c r="A698">
        <v>192.06</v>
      </c>
      <c r="B698">
        <v>5</v>
      </c>
      <c r="C698">
        <v>0.28079999999999999</v>
      </c>
      <c r="D698">
        <v>61.65</v>
      </c>
      <c r="F698" s="7">
        <f t="shared" si="20"/>
        <v>690.64776000000006</v>
      </c>
      <c r="G698" s="8">
        <f t="shared" si="21"/>
        <v>331.30223999999998</v>
      </c>
      <c r="I698" t="str">
        <v>05-May</v>
      </c>
      <c r="L698" t="b">
        <v>0</v>
      </c>
      <c r="N698" t="b">
        <v>0</v>
      </c>
    </row>
    <row r="699" spans="1:14" x14ac:dyDescent="0.35">
      <c r="A699">
        <v>293.77999999999997</v>
      </c>
      <c r="B699">
        <v>5</v>
      </c>
      <c r="C699">
        <v>3.15E-2</v>
      </c>
      <c r="D699">
        <v>59.25</v>
      </c>
      <c r="F699" s="7">
        <f t="shared" si="20"/>
        <v>1422.6296499999999</v>
      </c>
      <c r="G699" s="8">
        <f t="shared" si="21"/>
        <v>105.52034999999999</v>
      </c>
      <c r="I699" t="str">
        <v>05-May</v>
      </c>
      <c r="L699" t="b">
        <v>0</v>
      </c>
      <c r="N699" t="b">
        <v>0</v>
      </c>
    </row>
    <row r="700" spans="1:14" x14ac:dyDescent="0.35">
      <c r="A700">
        <v>121.84</v>
      </c>
      <c r="B700">
        <v>5</v>
      </c>
      <c r="C700">
        <v>1.5100000000000001E-2</v>
      </c>
      <c r="D700">
        <v>82.16</v>
      </c>
      <c r="F700" s="7">
        <f t="shared" si="20"/>
        <v>600.00108</v>
      </c>
      <c r="G700" s="8">
        <f t="shared" si="21"/>
        <v>91.358919999999998</v>
      </c>
      <c r="I700" t="str">
        <v>10-Oct</v>
      </c>
      <c r="L700" t="b">
        <v>0</v>
      </c>
      <c r="N700" t="b">
        <v>0</v>
      </c>
    </row>
    <row r="701" spans="1:14" x14ac:dyDescent="0.35">
      <c r="A701">
        <v>355.9</v>
      </c>
      <c r="B701">
        <v>5</v>
      </c>
      <c r="C701">
        <v>0.1777</v>
      </c>
      <c r="D701">
        <v>98.11</v>
      </c>
      <c r="F701" s="7">
        <f t="shared" si="20"/>
        <v>1463.2828500000001</v>
      </c>
      <c r="G701" s="8">
        <f t="shared" si="21"/>
        <v>414.32715000000002</v>
      </c>
      <c r="I701" t="str">
        <v>02-Feb</v>
      </c>
      <c r="L701" t="b">
        <v>0</v>
      </c>
      <c r="N701" t="b">
        <v>0</v>
      </c>
    </row>
    <row r="702" spans="1:14" x14ac:dyDescent="0.35">
      <c r="A702">
        <v>87.2</v>
      </c>
      <c r="B702">
        <v>3</v>
      </c>
      <c r="C702">
        <v>0.16289999999999999</v>
      </c>
      <c r="D702">
        <v>55.57</v>
      </c>
      <c r="F702" s="7">
        <f t="shared" si="20"/>
        <v>218.98536000000001</v>
      </c>
      <c r="G702" s="8">
        <f t="shared" si="21"/>
        <v>98.184640000000002</v>
      </c>
      <c r="I702" t="str">
        <v>04-Apr</v>
      </c>
      <c r="L702" t="b">
        <v>0</v>
      </c>
      <c r="N702" t="b">
        <v>0</v>
      </c>
    </row>
    <row r="703" spans="1:14" x14ac:dyDescent="0.35">
      <c r="A703">
        <v>223.74</v>
      </c>
      <c r="B703">
        <v>3</v>
      </c>
      <c r="C703">
        <v>0.29199999999999998</v>
      </c>
      <c r="D703">
        <v>75.180000000000007</v>
      </c>
      <c r="F703" s="7">
        <f t="shared" si="20"/>
        <v>475.22375999999997</v>
      </c>
      <c r="G703" s="8">
        <f t="shared" si="21"/>
        <v>271.17624000000001</v>
      </c>
      <c r="I703" t="str">
        <v>09-Sep</v>
      </c>
      <c r="L703" t="b">
        <v>0</v>
      </c>
      <c r="N703" t="b">
        <v>0</v>
      </c>
    </row>
    <row r="704" spans="1:14" x14ac:dyDescent="0.35">
      <c r="A704">
        <v>202.42</v>
      </c>
      <c r="B704">
        <v>4</v>
      </c>
      <c r="C704">
        <v>0.44569999999999999</v>
      </c>
      <c r="D704">
        <v>19.77</v>
      </c>
      <c r="F704" s="7">
        <f t="shared" si="20"/>
        <v>448.80562399999997</v>
      </c>
      <c r="G704" s="8">
        <f t="shared" si="21"/>
        <v>380.64437599999997</v>
      </c>
      <c r="I704" t="str">
        <v>01-Jan</v>
      </c>
      <c r="L704" t="b">
        <v>1</v>
      </c>
      <c r="N704" t="b">
        <v>0</v>
      </c>
    </row>
    <row r="705" spans="1:14" x14ac:dyDescent="0.35">
      <c r="A705">
        <v>367.69</v>
      </c>
      <c r="B705">
        <v>4</v>
      </c>
      <c r="C705">
        <v>0.41689999999999999</v>
      </c>
      <c r="D705">
        <v>27.18</v>
      </c>
      <c r="F705" s="7">
        <f t="shared" si="20"/>
        <v>857.60015599999997</v>
      </c>
      <c r="G705" s="8">
        <f t="shared" si="21"/>
        <v>640.33984399999997</v>
      </c>
      <c r="I705" t="str">
        <v>02-Feb</v>
      </c>
      <c r="L705" t="b">
        <v>0</v>
      </c>
      <c r="N705" t="b">
        <v>0</v>
      </c>
    </row>
    <row r="706" spans="1:14" x14ac:dyDescent="0.35">
      <c r="A706">
        <v>360.32</v>
      </c>
      <c r="B706">
        <v>4</v>
      </c>
      <c r="C706">
        <v>0.26569999999999999</v>
      </c>
      <c r="D706">
        <v>12.89</v>
      </c>
      <c r="F706" s="7">
        <f t="shared" si="20"/>
        <v>1058.3319039999999</v>
      </c>
      <c r="G706" s="8">
        <f t="shared" si="21"/>
        <v>395.83809599999995</v>
      </c>
      <c r="I706" t="str">
        <v>03-Mar</v>
      </c>
      <c r="L706" t="b">
        <v>0</v>
      </c>
      <c r="N706" t="b">
        <v>0</v>
      </c>
    </row>
    <row r="707" spans="1:14" x14ac:dyDescent="0.35">
      <c r="A707">
        <v>169.54</v>
      </c>
      <c r="B707">
        <v>4</v>
      </c>
      <c r="C707">
        <v>5.04E-2</v>
      </c>
      <c r="D707">
        <v>81.93</v>
      </c>
      <c r="F707" s="7">
        <f t="shared" ref="F707:F770" si="22">($A707*$B707)*(1-$C707)</f>
        <v>643.98073599999998</v>
      </c>
      <c r="G707" s="8">
        <f t="shared" ref="G707:G770" si="23">D707+(A707*B707*C707)</f>
        <v>116.109264</v>
      </c>
      <c r="I707" t="str">
        <v>01-Jan</v>
      </c>
      <c r="L707" t="b">
        <v>1</v>
      </c>
      <c r="N707" t="b">
        <v>0</v>
      </c>
    </row>
    <row r="708" spans="1:14" x14ac:dyDescent="0.35">
      <c r="A708">
        <v>358.86</v>
      </c>
      <c r="B708">
        <v>5</v>
      </c>
      <c r="C708">
        <v>0.4168</v>
      </c>
      <c r="D708">
        <v>90.86</v>
      </c>
      <c r="F708" s="7">
        <f t="shared" si="22"/>
        <v>1046.4357600000001</v>
      </c>
      <c r="G708" s="8">
        <f t="shared" si="23"/>
        <v>838.72424000000012</v>
      </c>
      <c r="I708" t="str">
        <v>04-Apr</v>
      </c>
      <c r="L708" t="b">
        <v>0</v>
      </c>
      <c r="N708" t="b">
        <v>0</v>
      </c>
    </row>
    <row r="709" spans="1:14" x14ac:dyDescent="0.35">
      <c r="A709">
        <v>439.3</v>
      </c>
      <c r="B709">
        <v>3</v>
      </c>
      <c r="C709">
        <v>0.44450000000000001</v>
      </c>
      <c r="D709">
        <v>91.47</v>
      </c>
      <c r="F709" s="7">
        <f t="shared" si="22"/>
        <v>732.09345000000008</v>
      </c>
      <c r="G709" s="8">
        <f t="shared" si="23"/>
        <v>677.27655000000004</v>
      </c>
      <c r="I709" t="str">
        <v>11-Nov</v>
      </c>
      <c r="L709" t="b">
        <v>0</v>
      </c>
      <c r="N709" t="b">
        <v>0</v>
      </c>
    </row>
    <row r="710" spans="1:14" x14ac:dyDescent="0.35">
      <c r="A710">
        <v>206.83</v>
      </c>
      <c r="B710">
        <v>5</v>
      </c>
      <c r="C710">
        <v>5.0900000000000001E-2</v>
      </c>
      <c r="D710">
        <v>63.73</v>
      </c>
      <c r="F710" s="7">
        <f t="shared" si="22"/>
        <v>981.5117650000002</v>
      </c>
      <c r="G710" s="8">
        <f t="shared" si="23"/>
        <v>116.368235</v>
      </c>
      <c r="I710" t="str">
        <v>03-Mar</v>
      </c>
      <c r="L710" t="b">
        <v>0</v>
      </c>
      <c r="N710" t="b">
        <v>0</v>
      </c>
    </row>
    <row r="711" spans="1:14" x14ac:dyDescent="0.35">
      <c r="A711">
        <v>203.88</v>
      </c>
      <c r="B711">
        <v>4</v>
      </c>
      <c r="C711">
        <v>0.38900000000000001</v>
      </c>
      <c r="D711">
        <v>63.24</v>
      </c>
      <c r="F711" s="7">
        <f t="shared" si="22"/>
        <v>498.28271999999998</v>
      </c>
      <c r="G711" s="8">
        <f t="shared" si="23"/>
        <v>380.47728000000001</v>
      </c>
      <c r="I711" t="str">
        <v>09-Sep</v>
      </c>
      <c r="L711" t="b">
        <v>0</v>
      </c>
      <c r="N711" t="b">
        <v>0</v>
      </c>
    </row>
    <row r="712" spans="1:14" x14ac:dyDescent="0.35">
      <c r="A712">
        <v>126.28</v>
      </c>
      <c r="B712">
        <v>3</v>
      </c>
      <c r="C712">
        <v>0.27329999999999999</v>
      </c>
      <c r="D712">
        <v>90.8</v>
      </c>
      <c r="F712" s="7">
        <f t="shared" si="22"/>
        <v>275.30302800000004</v>
      </c>
      <c r="G712" s="8">
        <f t="shared" si="23"/>
        <v>194.336972</v>
      </c>
      <c r="I712" t="str">
        <v>01-Jan</v>
      </c>
      <c r="L712" t="b">
        <v>1</v>
      </c>
      <c r="N712" t="b">
        <v>0</v>
      </c>
    </row>
    <row r="713" spans="1:14" x14ac:dyDescent="0.35">
      <c r="A713">
        <v>157.88999999999999</v>
      </c>
      <c r="B713">
        <v>3</v>
      </c>
      <c r="C713">
        <v>0.45150000000000001</v>
      </c>
      <c r="D713">
        <v>36.07</v>
      </c>
      <c r="F713" s="7">
        <f t="shared" si="22"/>
        <v>259.80799499999995</v>
      </c>
      <c r="G713" s="8">
        <f t="shared" si="23"/>
        <v>249.93200499999998</v>
      </c>
      <c r="I713" t="str">
        <v>10-Oct</v>
      </c>
      <c r="L713" t="b">
        <v>0</v>
      </c>
      <c r="N713" t="b">
        <v>0</v>
      </c>
    </row>
    <row r="714" spans="1:14" x14ac:dyDescent="0.35">
      <c r="A714">
        <v>90.97</v>
      </c>
      <c r="B714">
        <v>5</v>
      </c>
      <c r="C714">
        <v>5.04E-2</v>
      </c>
      <c r="D714">
        <v>35.75</v>
      </c>
      <c r="F714" s="7">
        <f t="shared" si="22"/>
        <v>431.92556000000002</v>
      </c>
      <c r="G714" s="8">
        <f t="shared" si="23"/>
        <v>58.674440000000004</v>
      </c>
      <c r="I714" t="str">
        <v>09-Sep</v>
      </c>
      <c r="L714" t="b">
        <v>0</v>
      </c>
      <c r="N714" t="b">
        <v>0</v>
      </c>
    </row>
    <row r="715" spans="1:14" x14ac:dyDescent="0.35">
      <c r="A715">
        <v>319.68</v>
      </c>
      <c r="B715">
        <v>4</v>
      </c>
      <c r="C715">
        <v>0.1072</v>
      </c>
      <c r="D715">
        <v>77.19</v>
      </c>
      <c r="F715" s="7">
        <f t="shared" si="22"/>
        <v>1141.641216</v>
      </c>
      <c r="G715" s="8">
        <f t="shared" si="23"/>
        <v>214.26878400000001</v>
      </c>
      <c r="I715" t="str">
        <v>09-Sep</v>
      </c>
      <c r="L715" t="b">
        <v>0</v>
      </c>
      <c r="N715" t="b">
        <v>0</v>
      </c>
    </row>
    <row r="716" spans="1:14" x14ac:dyDescent="0.35">
      <c r="A716">
        <v>409.84</v>
      </c>
      <c r="B716">
        <v>3</v>
      </c>
      <c r="C716">
        <v>0.38789999999999997</v>
      </c>
      <c r="D716">
        <v>16.13</v>
      </c>
      <c r="F716" s="7">
        <f t="shared" si="22"/>
        <v>752.58919200000014</v>
      </c>
      <c r="G716" s="8">
        <f t="shared" si="23"/>
        <v>493.06080799999995</v>
      </c>
      <c r="I716" t="str">
        <v>03-Mar</v>
      </c>
      <c r="L716" t="b">
        <v>0</v>
      </c>
      <c r="N716" t="b">
        <v>0</v>
      </c>
    </row>
    <row r="717" spans="1:14" x14ac:dyDescent="0.35">
      <c r="A717">
        <v>82.13</v>
      </c>
      <c r="B717">
        <v>4</v>
      </c>
      <c r="C717">
        <v>0.3604</v>
      </c>
      <c r="D717">
        <v>15.39</v>
      </c>
      <c r="F717" s="7">
        <f t="shared" si="22"/>
        <v>210.12139199999996</v>
      </c>
      <c r="G717" s="8">
        <f t="shared" si="23"/>
        <v>133.78860800000001</v>
      </c>
      <c r="I717" t="str">
        <v>04-Apr</v>
      </c>
      <c r="L717" t="b">
        <v>0</v>
      </c>
      <c r="N717" t="b">
        <v>0</v>
      </c>
    </row>
    <row r="718" spans="1:14" x14ac:dyDescent="0.35">
      <c r="A718">
        <v>98.34</v>
      </c>
      <c r="B718">
        <v>5</v>
      </c>
      <c r="C718">
        <v>0.29100000000000004</v>
      </c>
      <c r="D718">
        <v>62.32</v>
      </c>
      <c r="F718" s="7">
        <f t="shared" si="22"/>
        <v>348.61529999999999</v>
      </c>
      <c r="G718" s="8">
        <f t="shared" si="23"/>
        <v>205.40470000000002</v>
      </c>
      <c r="I718" t="str">
        <v>05-May</v>
      </c>
      <c r="L718" t="b">
        <v>0</v>
      </c>
      <c r="N718" t="b">
        <v>0</v>
      </c>
    </row>
    <row r="719" spans="1:14" x14ac:dyDescent="0.35">
      <c r="A719">
        <v>209.43</v>
      </c>
      <c r="B719">
        <v>4</v>
      </c>
      <c r="C719">
        <v>0.24840000000000001</v>
      </c>
      <c r="D719">
        <v>29.01</v>
      </c>
      <c r="F719" s="7">
        <f t="shared" si="22"/>
        <v>629.63035200000002</v>
      </c>
      <c r="G719" s="8">
        <f t="shared" si="23"/>
        <v>237.099648</v>
      </c>
      <c r="I719" t="str">
        <v>02-Feb</v>
      </c>
      <c r="L719" t="b">
        <v>0</v>
      </c>
      <c r="N719" t="b">
        <v>0</v>
      </c>
    </row>
    <row r="720" spans="1:14" x14ac:dyDescent="0.35">
      <c r="A720">
        <v>399.72</v>
      </c>
      <c r="B720">
        <v>3</v>
      </c>
      <c r="C720">
        <v>3.6000000000000004E-2</v>
      </c>
      <c r="D720">
        <v>26.23</v>
      </c>
      <c r="F720" s="7">
        <f t="shared" si="22"/>
        <v>1155.9902400000001</v>
      </c>
      <c r="G720" s="8">
        <f t="shared" si="23"/>
        <v>69.399760000000015</v>
      </c>
      <c r="I720" t="str">
        <v>01-Jan</v>
      </c>
      <c r="L720" t="b">
        <v>1</v>
      </c>
      <c r="N720" t="b">
        <v>0</v>
      </c>
    </row>
    <row r="721" spans="1:14" x14ac:dyDescent="0.35">
      <c r="A721">
        <v>477.38</v>
      </c>
      <c r="B721">
        <v>5</v>
      </c>
      <c r="C721">
        <v>0.115</v>
      </c>
      <c r="D721">
        <v>48.78</v>
      </c>
      <c r="F721" s="7">
        <f t="shared" si="22"/>
        <v>2112.4065000000001</v>
      </c>
      <c r="G721" s="8">
        <f t="shared" si="23"/>
        <v>323.27350000000001</v>
      </c>
      <c r="I721" t="str">
        <v>04-Apr</v>
      </c>
      <c r="L721" t="b">
        <v>0</v>
      </c>
      <c r="N721" t="b">
        <v>0</v>
      </c>
    </row>
    <row r="722" spans="1:14" x14ac:dyDescent="0.35">
      <c r="A722">
        <v>477.44</v>
      </c>
      <c r="B722">
        <v>5</v>
      </c>
      <c r="C722">
        <v>0.36590000000000006</v>
      </c>
      <c r="D722">
        <v>32.119999999999997</v>
      </c>
      <c r="F722" s="7">
        <f t="shared" si="22"/>
        <v>1513.7235199999996</v>
      </c>
      <c r="G722" s="8">
        <f t="shared" si="23"/>
        <v>905.59648000000004</v>
      </c>
      <c r="I722" t="str">
        <v>09-Sep</v>
      </c>
      <c r="L722" t="b">
        <v>0</v>
      </c>
      <c r="N722" t="b">
        <v>0</v>
      </c>
    </row>
    <row r="723" spans="1:14" x14ac:dyDescent="0.35">
      <c r="A723">
        <v>427.16</v>
      </c>
      <c r="B723">
        <v>3</v>
      </c>
      <c r="C723">
        <v>0.41789999999999999</v>
      </c>
      <c r="D723">
        <v>85.76</v>
      </c>
      <c r="F723" s="7">
        <f t="shared" si="22"/>
        <v>745.94950800000004</v>
      </c>
      <c r="G723" s="8">
        <f t="shared" si="23"/>
        <v>621.29049199999997</v>
      </c>
      <c r="I723" t="str">
        <v>08-Aug</v>
      </c>
      <c r="L723" t="b">
        <v>0</v>
      </c>
      <c r="N723" t="b">
        <v>0</v>
      </c>
    </row>
    <row r="724" spans="1:14" x14ac:dyDescent="0.35">
      <c r="A724">
        <v>466.47</v>
      </c>
      <c r="B724">
        <v>4</v>
      </c>
      <c r="C724">
        <v>5.6600000000000004E-2</v>
      </c>
      <c r="D724">
        <v>43.12</v>
      </c>
      <c r="F724" s="7">
        <f t="shared" si="22"/>
        <v>1760.2711920000002</v>
      </c>
      <c r="G724" s="8">
        <f t="shared" si="23"/>
        <v>148.72880800000001</v>
      </c>
      <c r="I724" t="str">
        <v>03-Mar</v>
      </c>
      <c r="L724" t="b">
        <v>0</v>
      </c>
      <c r="N724" t="b">
        <v>0</v>
      </c>
    </row>
    <row r="725" spans="1:14" x14ac:dyDescent="0.35">
      <c r="A725">
        <v>317.06</v>
      </c>
      <c r="B725">
        <v>3</v>
      </c>
      <c r="C725">
        <v>0.26079999999999998</v>
      </c>
      <c r="D725">
        <v>74.66</v>
      </c>
      <c r="F725" s="7">
        <f t="shared" si="22"/>
        <v>703.11225600000012</v>
      </c>
      <c r="G725" s="8">
        <f t="shared" si="23"/>
        <v>322.72774400000003</v>
      </c>
      <c r="I725" t="str">
        <v>03-Mar</v>
      </c>
      <c r="L725" t="b">
        <v>0</v>
      </c>
      <c r="N725" t="b">
        <v>0</v>
      </c>
    </row>
    <row r="726" spans="1:14" x14ac:dyDescent="0.35">
      <c r="A726">
        <v>65.819999999999993</v>
      </c>
      <c r="B726">
        <v>4</v>
      </c>
      <c r="C726">
        <v>8.1900000000000001E-2</v>
      </c>
      <c r="D726">
        <v>14.64</v>
      </c>
      <c r="F726" s="7">
        <f t="shared" si="22"/>
        <v>241.71736799999999</v>
      </c>
      <c r="G726" s="8">
        <f t="shared" si="23"/>
        <v>36.202631999999994</v>
      </c>
      <c r="I726" t="str">
        <v>03-Mar</v>
      </c>
      <c r="L726" t="b">
        <v>0</v>
      </c>
      <c r="N726" t="b">
        <v>0</v>
      </c>
    </row>
    <row r="727" spans="1:14" x14ac:dyDescent="0.35">
      <c r="A727">
        <v>463.44</v>
      </c>
      <c r="B727">
        <v>3</v>
      </c>
      <c r="C727">
        <v>0.34820000000000001</v>
      </c>
      <c r="D727">
        <v>44.74</v>
      </c>
      <c r="F727" s="7">
        <f t="shared" si="22"/>
        <v>906.21057599999983</v>
      </c>
      <c r="G727" s="8">
        <f t="shared" si="23"/>
        <v>528.849424</v>
      </c>
      <c r="I727" t="str">
        <v>06-Jun</v>
      </c>
      <c r="L727" t="b">
        <v>0</v>
      </c>
      <c r="N727" t="b">
        <v>0</v>
      </c>
    </row>
    <row r="728" spans="1:14" x14ac:dyDescent="0.35">
      <c r="A728">
        <v>233.98</v>
      </c>
      <c r="B728">
        <v>5</v>
      </c>
      <c r="C728">
        <v>0.43799999999999994</v>
      </c>
      <c r="D728">
        <v>59.04</v>
      </c>
      <c r="F728" s="7">
        <f t="shared" si="22"/>
        <v>657.48379999999997</v>
      </c>
      <c r="G728" s="8">
        <f t="shared" si="23"/>
        <v>571.45619999999985</v>
      </c>
      <c r="I728" t="str">
        <v>08-Aug</v>
      </c>
      <c r="L728" t="b">
        <v>0</v>
      </c>
      <c r="N728" t="b">
        <v>0</v>
      </c>
    </row>
    <row r="729" spans="1:14" x14ac:dyDescent="0.35">
      <c r="A729">
        <v>291.12</v>
      </c>
      <c r="B729">
        <v>3</v>
      </c>
      <c r="C729">
        <v>0.48920000000000002</v>
      </c>
      <c r="D729">
        <v>17.27</v>
      </c>
      <c r="F729" s="7">
        <f t="shared" si="22"/>
        <v>446.11228799999992</v>
      </c>
      <c r="G729" s="8">
        <f t="shared" si="23"/>
        <v>444.51771200000002</v>
      </c>
      <c r="I729" t="str">
        <v>06-Jun</v>
      </c>
      <c r="L729" t="b">
        <v>0</v>
      </c>
      <c r="N729" t="b">
        <v>0</v>
      </c>
    </row>
    <row r="730" spans="1:14" x14ac:dyDescent="0.35">
      <c r="A730">
        <v>393.7</v>
      </c>
      <c r="B730">
        <v>4</v>
      </c>
      <c r="C730">
        <v>0.23719999999999999</v>
      </c>
      <c r="D730">
        <v>23.69</v>
      </c>
      <c r="F730" s="7">
        <f t="shared" si="22"/>
        <v>1201.2574400000001</v>
      </c>
      <c r="G730" s="8">
        <f t="shared" si="23"/>
        <v>397.23255999999998</v>
      </c>
      <c r="I730" t="str">
        <v>06-Jun</v>
      </c>
      <c r="L730" t="b">
        <v>0</v>
      </c>
      <c r="N730" t="b">
        <v>0</v>
      </c>
    </row>
    <row r="731" spans="1:14" x14ac:dyDescent="0.35">
      <c r="A731">
        <v>344.3</v>
      </c>
      <c r="B731">
        <v>4</v>
      </c>
      <c r="C731">
        <v>0.31620000000000004</v>
      </c>
      <c r="D731">
        <v>79.739999999999995</v>
      </c>
      <c r="F731" s="7">
        <f t="shared" si="22"/>
        <v>941.72935999999993</v>
      </c>
      <c r="G731" s="8">
        <f t="shared" si="23"/>
        <v>515.21064000000001</v>
      </c>
      <c r="I731" t="str">
        <v>05-May</v>
      </c>
      <c r="L731" t="b">
        <v>0</v>
      </c>
      <c r="N731" t="b">
        <v>0</v>
      </c>
    </row>
    <row r="732" spans="1:14" x14ac:dyDescent="0.35">
      <c r="A732">
        <v>276.27</v>
      </c>
      <c r="B732">
        <v>4</v>
      </c>
      <c r="C732">
        <v>7.0199999999999999E-2</v>
      </c>
      <c r="D732">
        <v>78.819999999999993</v>
      </c>
      <c r="F732" s="7">
        <f t="shared" si="22"/>
        <v>1027.5033839999999</v>
      </c>
      <c r="G732" s="8">
        <f t="shared" si="23"/>
        <v>156.39661599999999</v>
      </c>
      <c r="I732" t="str">
        <v>02-Feb</v>
      </c>
      <c r="L732" t="b">
        <v>0</v>
      </c>
      <c r="N732" t="b">
        <v>0</v>
      </c>
    </row>
    <row r="733" spans="1:14" x14ac:dyDescent="0.35">
      <c r="A733">
        <v>423.1</v>
      </c>
      <c r="B733">
        <v>3</v>
      </c>
      <c r="C733">
        <v>0.1736</v>
      </c>
      <c r="D733">
        <v>77.69</v>
      </c>
      <c r="F733" s="7">
        <f t="shared" si="22"/>
        <v>1048.9495200000001</v>
      </c>
      <c r="G733" s="8">
        <f t="shared" si="23"/>
        <v>298.04048</v>
      </c>
      <c r="I733" t="str">
        <v>01-Jan</v>
      </c>
      <c r="L733" t="b">
        <v>1</v>
      </c>
      <c r="N733" t="b">
        <v>0</v>
      </c>
    </row>
    <row r="734" spans="1:14" x14ac:dyDescent="0.35">
      <c r="A734">
        <v>263.54000000000002</v>
      </c>
      <c r="B734">
        <v>3</v>
      </c>
      <c r="C734">
        <v>0.41170000000000001</v>
      </c>
      <c r="D734">
        <v>29.71</v>
      </c>
      <c r="F734" s="7">
        <f t="shared" si="22"/>
        <v>465.12174600000009</v>
      </c>
      <c r="G734" s="8">
        <f t="shared" si="23"/>
        <v>355.20825400000001</v>
      </c>
      <c r="I734" t="str">
        <v>07-Jul</v>
      </c>
      <c r="L734" t="b">
        <v>0</v>
      </c>
      <c r="N734" t="b">
        <v>0</v>
      </c>
    </row>
    <row r="735" spans="1:14" x14ac:dyDescent="0.35">
      <c r="A735">
        <v>450.69</v>
      </c>
      <c r="B735">
        <v>5</v>
      </c>
      <c r="C735">
        <v>0.31620000000000004</v>
      </c>
      <c r="D735">
        <v>86.24</v>
      </c>
      <c r="F735" s="7">
        <f t="shared" si="22"/>
        <v>1540.9091099999998</v>
      </c>
      <c r="G735" s="8">
        <f t="shared" si="23"/>
        <v>798.78089</v>
      </c>
      <c r="I735" t="str">
        <v>10-Oct</v>
      </c>
      <c r="L735" t="b">
        <v>0</v>
      </c>
      <c r="N735" t="b">
        <v>0</v>
      </c>
    </row>
    <row r="736" spans="1:14" x14ac:dyDescent="0.35">
      <c r="A736">
        <v>478.75</v>
      </c>
      <c r="B736">
        <v>3</v>
      </c>
      <c r="C736">
        <v>3.5699999999999996E-2</v>
      </c>
      <c r="D736">
        <v>60.9</v>
      </c>
      <c r="F736" s="7">
        <f t="shared" si="22"/>
        <v>1384.9758750000001</v>
      </c>
      <c r="G736" s="8">
        <f t="shared" si="23"/>
        <v>112.17412499999999</v>
      </c>
      <c r="I736" t="str">
        <v>08-Aug</v>
      </c>
      <c r="L736" t="b">
        <v>0</v>
      </c>
      <c r="N736" t="b">
        <v>0</v>
      </c>
    </row>
    <row r="737" spans="1:14" x14ac:dyDescent="0.35">
      <c r="A737">
        <v>230.23</v>
      </c>
      <c r="B737">
        <v>5</v>
      </c>
      <c r="C737">
        <v>0.26050000000000001</v>
      </c>
      <c r="D737">
        <v>89.61</v>
      </c>
      <c r="F737" s="7">
        <f t="shared" si="22"/>
        <v>851.27542499999993</v>
      </c>
      <c r="G737" s="8">
        <f t="shared" si="23"/>
        <v>389.48457500000001</v>
      </c>
      <c r="I737" t="str">
        <v>12-Dec</v>
      </c>
      <c r="L737" t="b">
        <v>0</v>
      </c>
      <c r="N737" t="b">
        <v>0</v>
      </c>
    </row>
    <row r="738" spans="1:14" x14ac:dyDescent="0.35">
      <c r="A738">
        <v>438.32</v>
      </c>
      <c r="B738">
        <v>3</v>
      </c>
      <c r="C738">
        <v>0.21129999999999999</v>
      </c>
      <c r="D738">
        <v>13.52</v>
      </c>
      <c r="F738" s="7">
        <f t="shared" si="22"/>
        <v>1037.108952</v>
      </c>
      <c r="G738" s="8">
        <f t="shared" si="23"/>
        <v>291.37104799999997</v>
      </c>
      <c r="I738" t="str">
        <v>10-Oct</v>
      </c>
      <c r="L738" t="b">
        <v>0</v>
      </c>
      <c r="N738" t="b">
        <v>0</v>
      </c>
    </row>
    <row r="739" spans="1:14" x14ac:dyDescent="0.35">
      <c r="A739">
        <v>62.4</v>
      </c>
      <c r="B739">
        <v>3</v>
      </c>
      <c r="C739">
        <v>0.20250000000000001</v>
      </c>
      <c r="D739">
        <v>85.95</v>
      </c>
      <c r="F739" s="7">
        <f t="shared" si="22"/>
        <v>149.292</v>
      </c>
      <c r="G739" s="8">
        <f t="shared" si="23"/>
        <v>123.858</v>
      </c>
      <c r="I739" t="str">
        <v>05-May</v>
      </c>
      <c r="L739" t="b">
        <v>0</v>
      </c>
      <c r="N739" t="b">
        <v>0</v>
      </c>
    </row>
    <row r="740" spans="1:14" x14ac:dyDescent="0.35">
      <c r="A740">
        <v>407.06</v>
      </c>
      <c r="B740">
        <v>5</v>
      </c>
      <c r="C740">
        <v>6.9000000000000006E-2</v>
      </c>
      <c r="D740">
        <v>58.2</v>
      </c>
      <c r="F740" s="7">
        <f t="shared" si="22"/>
        <v>1894.8643</v>
      </c>
      <c r="G740" s="8">
        <f t="shared" si="23"/>
        <v>198.63569999999999</v>
      </c>
      <c r="I740" t="str">
        <v>08-Aug</v>
      </c>
      <c r="L740" t="b">
        <v>0</v>
      </c>
      <c r="N740" t="b">
        <v>0</v>
      </c>
    </row>
    <row r="741" spans="1:14" x14ac:dyDescent="0.35">
      <c r="A741">
        <v>411.06</v>
      </c>
      <c r="B741">
        <v>5</v>
      </c>
      <c r="C741">
        <v>0.3332</v>
      </c>
      <c r="D741">
        <v>80.27</v>
      </c>
      <c r="F741" s="7">
        <f t="shared" si="22"/>
        <v>1370.4740400000003</v>
      </c>
      <c r="G741" s="8">
        <f t="shared" si="23"/>
        <v>765.09595999999999</v>
      </c>
      <c r="I741" t="str">
        <v>10-Oct</v>
      </c>
      <c r="L741" t="b">
        <v>0</v>
      </c>
      <c r="N741" t="b">
        <v>0</v>
      </c>
    </row>
    <row r="742" spans="1:14" x14ac:dyDescent="0.35">
      <c r="A742">
        <v>373.91</v>
      </c>
      <c r="B742">
        <v>4</v>
      </c>
      <c r="C742">
        <v>0.26069999999999999</v>
      </c>
      <c r="D742">
        <v>82.63</v>
      </c>
      <c r="F742" s="7">
        <f t="shared" si="22"/>
        <v>1105.7266520000003</v>
      </c>
      <c r="G742" s="8">
        <f t="shared" si="23"/>
        <v>472.54334799999998</v>
      </c>
      <c r="I742" t="str">
        <v>04-Apr</v>
      </c>
      <c r="L742" t="b">
        <v>0</v>
      </c>
      <c r="N742" t="b">
        <v>0</v>
      </c>
    </row>
    <row r="743" spans="1:14" x14ac:dyDescent="0.35">
      <c r="A743">
        <v>429.25</v>
      </c>
      <c r="B743">
        <v>3</v>
      </c>
      <c r="C743">
        <v>0.19879999999999998</v>
      </c>
      <c r="D743">
        <v>87.18</v>
      </c>
      <c r="F743" s="7">
        <f t="shared" si="22"/>
        <v>1031.7453</v>
      </c>
      <c r="G743" s="8">
        <f t="shared" si="23"/>
        <v>343.18469999999996</v>
      </c>
      <c r="I743" t="str">
        <v>08-Aug</v>
      </c>
      <c r="L743" t="b">
        <v>0</v>
      </c>
      <c r="N743" t="b">
        <v>0</v>
      </c>
    </row>
    <row r="744" spans="1:14" x14ac:dyDescent="0.35">
      <c r="A744">
        <v>221.19</v>
      </c>
      <c r="B744">
        <v>3</v>
      </c>
      <c r="C744">
        <v>0.37770000000000004</v>
      </c>
      <c r="D744">
        <v>67.739999999999995</v>
      </c>
      <c r="F744" s="7">
        <f t="shared" si="22"/>
        <v>412.93961099999996</v>
      </c>
      <c r="G744" s="8">
        <f t="shared" si="23"/>
        <v>318.37038899999999</v>
      </c>
      <c r="I744" t="str">
        <v>09-Sep</v>
      </c>
      <c r="L744" t="b">
        <v>0</v>
      </c>
      <c r="N744" t="b">
        <v>0</v>
      </c>
    </row>
    <row r="745" spans="1:14" x14ac:dyDescent="0.35">
      <c r="A745">
        <v>481.75</v>
      </c>
      <c r="B745">
        <v>4</v>
      </c>
      <c r="C745">
        <v>0.28410000000000002</v>
      </c>
      <c r="D745">
        <v>84.51</v>
      </c>
      <c r="F745" s="7">
        <f t="shared" si="22"/>
        <v>1379.5392999999999</v>
      </c>
      <c r="G745" s="8">
        <f t="shared" si="23"/>
        <v>631.97070000000008</v>
      </c>
      <c r="I745" t="str">
        <v>04-Apr</v>
      </c>
      <c r="L745" t="b">
        <v>0</v>
      </c>
      <c r="N745" t="b">
        <v>0</v>
      </c>
    </row>
    <row r="746" spans="1:14" x14ac:dyDescent="0.35">
      <c r="A746">
        <v>240.6</v>
      </c>
      <c r="B746">
        <v>5</v>
      </c>
      <c r="C746">
        <v>0.42170000000000002</v>
      </c>
      <c r="D746">
        <v>51.66</v>
      </c>
      <c r="F746" s="7">
        <f t="shared" si="22"/>
        <v>695.69490000000008</v>
      </c>
      <c r="G746" s="8">
        <f t="shared" si="23"/>
        <v>558.96510000000001</v>
      </c>
      <c r="I746" t="str">
        <v>02-Feb</v>
      </c>
      <c r="L746" t="b">
        <v>0</v>
      </c>
      <c r="N746" t="b">
        <v>0</v>
      </c>
    </row>
    <row r="747" spans="1:14" x14ac:dyDescent="0.35">
      <c r="A747">
        <v>174.54</v>
      </c>
      <c r="B747">
        <v>5</v>
      </c>
      <c r="C747">
        <v>0.42280000000000001</v>
      </c>
      <c r="D747">
        <v>17.45</v>
      </c>
      <c r="F747" s="7">
        <f t="shared" si="22"/>
        <v>503.72243999999989</v>
      </c>
      <c r="G747" s="8">
        <f t="shared" si="23"/>
        <v>386.42755999999997</v>
      </c>
      <c r="I747" t="str">
        <v>09-Sep</v>
      </c>
      <c r="L747" t="b">
        <v>0</v>
      </c>
      <c r="N747" t="b">
        <v>0</v>
      </c>
    </row>
    <row r="748" spans="1:14" x14ac:dyDescent="0.35">
      <c r="A748">
        <v>496.11</v>
      </c>
      <c r="B748">
        <v>3</v>
      </c>
      <c r="C748">
        <v>0.32630000000000003</v>
      </c>
      <c r="D748">
        <v>28.97</v>
      </c>
      <c r="F748" s="7">
        <f t="shared" si="22"/>
        <v>1002.6879209999998</v>
      </c>
      <c r="G748" s="8">
        <f t="shared" si="23"/>
        <v>514.61207899999999</v>
      </c>
      <c r="I748" t="str">
        <v>06-Jun</v>
      </c>
      <c r="L748" t="b">
        <v>0</v>
      </c>
      <c r="N748" t="b">
        <v>0</v>
      </c>
    </row>
    <row r="749" spans="1:14" x14ac:dyDescent="0.35">
      <c r="A749">
        <v>396.76</v>
      </c>
      <c r="B749">
        <v>5</v>
      </c>
      <c r="C749">
        <v>0.12189999999999999</v>
      </c>
      <c r="D749">
        <v>67.349999999999994</v>
      </c>
      <c r="F749" s="7">
        <f t="shared" si="22"/>
        <v>1741.97478</v>
      </c>
      <c r="G749" s="8">
        <f t="shared" si="23"/>
        <v>309.17521999999997</v>
      </c>
      <c r="I749" t="str">
        <v>05-May</v>
      </c>
      <c r="L749" t="b">
        <v>0</v>
      </c>
      <c r="N749" t="b">
        <v>0</v>
      </c>
    </row>
    <row r="750" spans="1:14" x14ac:dyDescent="0.35">
      <c r="A750">
        <v>168.89</v>
      </c>
      <c r="B750">
        <v>5</v>
      </c>
      <c r="C750">
        <v>0.24379999999999999</v>
      </c>
      <c r="D750">
        <v>82.57</v>
      </c>
      <c r="F750" s="7">
        <f t="shared" si="22"/>
        <v>638.57308999999998</v>
      </c>
      <c r="G750" s="8">
        <f t="shared" si="23"/>
        <v>288.44691</v>
      </c>
      <c r="I750" t="str">
        <v>06-Jun</v>
      </c>
      <c r="L750" t="b">
        <v>0</v>
      </c>
      <c r="N750" t="b">
        <v>0</v>
      </c>
    </row>
    <row r="751" spans="1:14" x14ac:dyDescent="0.35">
      <c r="A751">
        <v>175.54</v>
      </c>
      <c r="B751">
        <v>4</v>
      </c>
      <c r="C751">
        <v>0.32549999999999996</v>
      </c>
      <c r="D751">
        <v>14.74</v>
      </c>
      <c r="F751" s="7">
        <f t="shared" si="22"/>
        <v>473.60692000000006</v>
      </c>
      <c r="G751" s="8">
        <f t="shared" si="23"/>
        <v>243.29307999999997</v>
      </c>
      <c r="I751" t="str">
        <v>11-Nov</v>
      </c>
      <c r="L751" t="b">
        <v>0</v>
      </c>
      <c r="N751" t="b">
        <v>0</v>
      </c>
    </row>
    <row r="752" spans="1:14" x14ac:dyDescent="0.35">
      <c r="A752">
        <v>199.78</v>
      </c>
      <c r="B752">
        <v>5</v>
      </c>
      <c r="C752">
        <v>0.49259999999999998</v>
      </c>
      <c r="D752">
        <v>45.34</v>
      </c>
      <c r="F752" s="7">
        <f t="shared" si="22"/>
        <v>506.84186000000005</v>
      </c>
      <c r="G752" s="8">
        <f t="shared" si="23"/>
        <v>537.39814000000001</v>
      </c>
      <c r="I752" t="str">
        <v>10-Oct</v>
      </c>
      <c r="L752" t="b">
        <v>0</v>
      </c>
      <c r="N752" t="b">
        <v>0</v>
      </c>
    </row>
    <row r="753" spans="1:14" x14ac:dyDescent="0.35">
      <c r="A753">
        <v>105.81</v>
      </c>
      <c r="B753">
        <v>3</v>
      </c>
      <c r="C753">
        <v>0.23730000000000001</v>
      </c>
      <c r="D753">
        <v>93.47</v>
      </c>
      <c r="F753" s="7">
        <f t="shared" si="22"/>
        <v>242.10386099999999</v>
      </c>
      <c r="G753" s="8">
        <f t="shared" si="23"/>
        <v>168.79613900000001</v>
      </c>
      <c r="I753" t="str">
        <v>02-Feb</v>
      </c>
      <c r="L753" t="b">
        <v>0</v>
      </c>
      <c r="N753" t="b">
        <v>0</v>
      </c>
    </row>
    <row r="754" spans="1:14" x14ac:dyDescent="0.35">
      <c r="A754">
        <v>168.24</v>
      </c>
      <c r="B754">
        <v>4</v>
      </c>
      <c r="C754">
        <v>0.1784</v>
      </c>
      <c r="D754">
        <v>20.7</v>
      </c>
      <c r="F754" s="7">
        <f t="shared" si="22"/>
        <v>552.90393600000004</v>
      </c>
      <c r="G754" s="8">
        <f t="shared" si="23"/>
        <v>140.75606400000001</v>
      </c>
      <c r="I754" t="str">
        <v>01-Jan</v>
      </c>
      <c r="L754" t="b">
        <v>1</v>
      </c>
      <c r="N754" t="b">
        <v>0</v>
      </c>
    </row>
    <row r="755" spans="1:14" x14ac:dyDescent="0.35">
      <c r="A755">
        <v>441.64</v>
      </c>
      <c r="B755">
        <v>3</v>
      </c>
      <c r="C755">
        <v>0.13669999999999999</v>
      </c>
      <c r="D755">
        <v>22.46</v>
      </c>
      <c r="F755" s="7">
        <f t="shared" si="22"/>
        <v>1143.8034359999999</v>
      </c>
      <c r="G755" s="8">
        <f t="shared" si="23"/>
        <v>203.57656399999999</v>
      </c>
      <c r="I755" t="str">
        <v>12-Dec</v>
      </c>
      <c r="L755" t="b">
        <v>0</v>
      </c>
      <c r="N755" t="b">
        <v>0</v>
      </c>
    </row>
    <row r="756" spans="1:14" x14ac:dyDescent="0.35">
      <c r="A756">
        <v>73.83</v>
      </c>
      <c r="B756">
        <v>4</v>
      </c>
      <c r="C756">
        <v>0.44880000000000003</v>
      </c>
      <c r="D756">
        <v>67.66</v>
      </c>
      <c r="F756" s="7">
        <f t="shared" si="22"/>
        <v>162.78038399999997</v>
      </c>
      <c r="G756" s="8">
        <f t="shared" si="23"/>
        <v>200.19961599999999</v>
      </c>
      <c r="I756" t="str">
        <v>04-Apr</v>
      </c>
      <c r="L756" t="b">
        <v>0</v>
      </c>
      <c r="N756" t="b">
        <v>0</v>
      </c>
    </row>
    <row r="757" spans="1:14" x14ac:dyDescent="0.35">
      <c r="A757">
        <v>195.57</v>
      </c>
      <c r="B757">
        <v>4</v>
      </c>
      <c r="C757">
        <v>8.2400000000000001E-2</v>
      </c>
      <c r="D757">
        <v>81.849999999999994</v>
      </c>
      <c r="F757" s="7">
        <f t="shared" si="22"/>
        <v>717.82012799999995</v>
      </c>
      <c r="G757" s="8">
        <f t="shared" si="23"/>
        <v>146.30987199999998</v>
      </c>
      <c r="I757" t="str">
        <v>02-Feb</v>
      </c>
      <c r="L757" t="b">
        <v>0</v>
      </c>
      <c r="N757" t="b">
        <v>0</v>
      </c>
    </row>
    <row r="758" spans="1:14" x14ac:dyDescent="0.35">
      <c r="A758">
        <v>434.63</v>
      </c>
      <c r="B758">
        <v>5</v>
      </c>
      <c r="C758">
        <v>0.128</v>
      </c>
      <c r="D758">
        <v>92.75</v>
      </c>
      <c r="F758" s="7">
        <f t="shared" si="22"/>
        <v>1894.9868000000001</v>
      </c>
      <c r="G758" s="8">
        <f t="shared" si="23"/>
        <v>370.91320000000002</v>
      </c>
      <c r="I758" t="str">
        <v>04-Apr</v>
      </c>
      <c r="L758" t="b">
        <v>0</v>
      </c>
      <c r="N758" t="b">
        <v>0</v>
      </c>
    </row>
    <row r="759" spans="1:14" x14ac:dyDescent="0.35">
      <c r="A759">
        <v>75.52</v>
      </c>
      <c r="B759">
        <v>3</v>
      </c>
      <c r="C759">
        <v>0.3206</v>
      </c>
      <c r="D759">
        <v>40.14</v>
      </c>
      <c r="F759" s="7">
        <f t="shared" si="22"/>
        <v>153.92486400000001</v>
      </c>
      <c r="G759" s="8">
        <f t="shared" si="23"/>
        <v>112.775136</v>
      </c>
      <c r="I759" t="str">
        <v>08-Aug</v>
      </c>
      <c r="L759" t="b">
        <v>0</v>
      </c>
      <c r="N759" t="b">
        <v>0</v>
      </c>
    </row>
    <row r="760" spans="1:14" x14ac:dyDescent="0.35">
      <c r="A760">
        <v>262.12</v>
      </c>
      <c r="B760">
        <v>5</v>
      </c>
      <c r="C760">
        <v>0.44159999999999999</v>
      </c>
      <c r="D760">
        <v>16</v>
      </c>
      <c r="F760" s="7">
        <f t="shared" si="22"/>
        <v>731.83903999999995</v>
      </c>
      <c r="G760" s="8">
        <f t="shared" si="23"/>
        <v>594.76095999999995</v>
      </c>
      <c r="I760" t="str">
        <v>08-Aug</v>
      </c>
      <c r="L760" t="b">
        <v>0</v>
      </c>
      <c r="N760" t="b">
        <v>0</v>
      </c>
    </row>
    <row r="761" spans="1:14" x14ac:dyDescent="0.35">
      <c r="A761">
        <v>254.98</v>
      </c>
      <c r="B761">
        <v>5</v>
      </c>
      <c r="C761">
        <v>0.01</v>
      </c>
      <c r="D761">
        <v>46.83</v>
      </c>
      <c r="F761" s="7">
        <f t="shared" si="22"/>
        <v>1262.1509999999998</v>
      </c>
      <c r="G761" s="8">
        <f t="shared" si="23"/>
        <v>59.578999999999994</v>
      </c>
      <c r="I761" t="str">
        <v>01-Jan</v>
      </c>
      <c r="L761" t="b">
        <v>1</v>
      </c>
      <c r="N761" t="b">
        <v>0</v>
      </c>
    </row>
    <row r="762" spans="1:14" x14ac:dyDescent="0.35">
      <c r="A762">
        <v>150.86000000000001</v>
      </c>
      <c r="B762">
        <v>4</v>
      </c>
      <c r="C762">
        <v>0.13489999999999999</v>
      </c>
      <c r="D762">
        <v>48.32</v>
      </c>
      <c r="F762" s="7">
        <f t="shared" si="22"/>
        <v>522.03594400000009</v>
      </c>
      <c r="G762" s="8">
        <f t="shared" si="23"/>
        <v>129.72405599999999</v>
      </c>
      <c r="I762" t="str">
        <v>07-Jul</v>
      </c>
      <c r="L762" t="b">
        <v>0</v>
      </c>
      <c r="N762" t="b">
        <v>0</v>
      </c>
    </row>
    <row r="763" spans="1:14" x14ac:dyDescent="0.35">
      <c r="A763">
        <v>337.72</v>
      </c>
      <c r="B763">
        <v>3</v>
      </c>
      <c r="C763">
        <v>1.2199999999999999E-2</v>
      </c>
      <c r="D763">
        <v>98.11</v>
      </c>
      <c r="F763" s="7">
        <f t="shared" si="22"/>
        <v>1000.7994480000001</v>
      </c>
      <c r="G763" s="8">
        <f t="shared" si="23"/>
        <v>110.470552</v>
      </c>
      <c r="I763" t="str">
        <v>10-Oct</v>
      </c>
      <c r="L763" t="b">
        <v>0</v>
      </c>
      <c r="N763" t="b">
        <v>0</v>
      </c>
    </row>
    <row r="764" spans="1:14" x14ac:dyDescent="0.35">
      <c r="A764">
        <v>180.6</v>
      </c>
      <c r="B764">
        <v>5</v>
      </c>
      <c r="C764">
        <v>0.32179999999999997</v>
      </c>
      <c r="D764">
        <v>54.28</v>
      </c>
      <c r="F764" s="7">
        <f t="shared" si="22"/>
        <v>612.41460000000006</v>
      </c>
      <c r="G764" s="8">
        <f t="shared" si="23"/>
        <v>344.86540000000002</v>
      </c>
      <c r="I764" t="str">
        <v>02-Feb</v>
      </c>
      <c r="L764" t="b">
        <v>0</v>
      </c>
      <c r="N764" t="b">
        <v>0</v>
      </c>
    </row>
    <row r="765" spans="1:14" x14ac:dyDescent="0.35">
      <c r="A765">
        <v>282.58999999999997</v>
      </c>
      <c r="B765">
        <v>4</v>
      </c>
      <c r="C765">
        <v>0.2261</v>
      </c>
      <c r="D765">
        <v>90.28</v>
      </c>
      <c r="F765" s="7">
        <f t="shared" si="22"/>
        <v>874.78560399999992</v>
      </c>
      <c r="G765" s="8">
        <f t="shared" si="23"/>
        <v>345.85439599999995</v>
      </c>
      <c r="I765" t="str">
        <v>03-Mar</v>
      </c>
      <c r="L765" t="b">
        <v>0</v>
      </c>
      <c r="N765" t="b">
        <v>0</v>
      </c>
    </row>
    <row r="766" spans="1:14" x14ac:dyDescent="0.35">
      <c r="A766">
        <v>262.39999999999998</v>
      </c>
      <c r="B766">
        <v>3</v>
      </c>
      <c r="C766">
        <v>0.1115</v>
      </c>
      <c r="D766">
        <v>56.51</v>
      </c>
      <c r="F766" s="7">
        <f t="shared" si="22"/>
        <v>699.42719999999986</v>
      </c>
      <c r="G766" s="8">
        <f t="shared" si="23"/>
        <v>144.28279999999998</v>
      </c>
      <c r="I766" t="str">
        <v>04-Apr</v>
      </c>
      <c r="L766" t="b">
        <v>0</v>
      </c>
      <c r="N766" t="b">
        <v>0</v>
      </c>
    </row>
    <row r="767" spans="1:14" x14ac:dyDescent="0.35">
      <c r="A767">
        <v>128.69999999999999</v>
      </c>
      <c r="B767">
        <v>3</v>
      </c>
      <c r="C767">
        <v>3.5400000000000001E-2</v>
      </c>
      <c r="D767">
        <v>74.38</v>
      </c>
      <c r="F767" s="7">
        <f t="shared" si="22"/>
        <v>372.43205999999998</v>
      </c>
      <c r="G767" s="8">
        <f t="shared" si="23"/>
        <v>88.047939999999997</v>
      </c>
      <c r="I767" t="str">
        <v>10-Oct</v>
      </c>
      <c r="L767" t="b">
        <v>0</v>
      </c>
      <c r="N767" t="b">
        <v>0</v>
      </c>
    </row>
    <row r="768" spans="1:14" x14ac:dyDescent="0.35">
      <c r="A768">
        <v>397.01</v>
      </c>
      <c r="B768">
        <v>4</v>
      </c>
      <c r="C768">
        <v>5.45E-2</v>
      </c>
      <c r="D768">
        <v>27.06</v>
      </c>
      <c r="F768" s="7">
        <f t="shared" si="22"/>
        <v>1501.49182</v>
      </c>
      <c r="G768" s="8">
        <f t="shared" si="23"/>
        <v>113.60818</v>
      </c>
      <c r="I768" t="str">
        <v>02-Feb</v>
      </c>
      <c r="L768" t="b">
        <v>0</v>
      </c>
      <c r="N768" t="b">
        <v>0</v>
      </c>
    </row>
    <row r="769" spans="1:14" x14ac:dyDescent="0.35">
      <c r="A769">
        <v>367.14</v>
      </c>
      <c r="B769">
        <v>4</v>
      </c>
      <c r="C769">
        <v>0.49170000000000003</v>
      </c>
      <c r="D769">
        <v>32.1</v>
      </c>
      <c r="F769" s="7">
        <f t="shared" si="22"/>
        <v>746.46904799999993</v>
      </c>
      <c r="G769" s="8">
        <f t="shared" si="23"/>
        <v>754.19095200000004</v>
      </c>
      <c r="I769" t="str">
        <v>06-Jun</v>
      </c>
      <c r="L769" t="b">
        <v>0</v>
      </c>
      <c r="N769" t="b">
        <v>0</v>
      </c>
    </row>
    <row r="770" spans="1:14" x14ac:dyDescent="0.35">
      <c r="A770">
        <v>396.46</v>
      </c>
      <c r="B770">
        <v>4</v>
      </c>
      <c r="C770">
        <v>0.44329999999999997</v>
      </c>
      <c r="D770">
        <v>51.07</v>
      </c>
      <c r="F770" s="7">
        <f t="shared" si="22"/>
        <v>882.83712799999989</v>
      </c>
      <c r="G770" s="8">
        <f t="shared" si="23"/>
        <v>754.07287199999996</v>
      </c>
      <c r="I770" t="str">
        <v>03-Mar</v>
      </c>
      <c r="L770" t="b">
        <v>0</v>
      </c>
      <c r="N770" t="b">
        <v>0</v>
      </c>
    </row>
    <row r="771" spans="1:14" x14ac:dyDescent="0.35">
      <c r="A771">
        <v>163.01</v>
      </c>
      <c r="B771">
        <v>3</v>
      </c>
      <c r="C771">
        <v>0.5</v>
      </c>
      <c r="D771">
        <v>62.65</v>
      </c>
      <c r="F771" s="7">
        <f t="shared" ref="F771:F834" si="24">($A771*$B771)*(1-$C771)</f>
        <v>244.51499999999999</v>
      </c>
      <c r="G771" s="8">
        <f t="shared" ref="G771:G834" si="25">D771+(A771*B771*C771)</f>
        <v>307.16499999999996</v>
      </c>
      <c r="I771" t="str">
        <v>04-Apr</v>
      </c>
      <c r="L771" t="b">
        <v>0</v>
      </c>
      <c r="N771" t="b">
        <v>0</v>
      </c>
    </row>
    <row r="772" spans="1:14" x14ac:dyDescent="0.35">
      <c r="A772">
        <v>187.72</v>
      </c>
      <c r="B772">
        <v>4</v>
      </c>
      <c r="C772">
        <v>0.45590000000000003</v>
      </c>
      <c r="D772">
        <v>38.03</v>
      </c>
      <c r="F772" s="7">
        <f t="shared" si="24"/>
        <v>408.553808</v>
      </c>
      <c r="G772" s="8">
        <f t="shared" si="25"/>
        <v>380.35619199999996</v>
      </c>
      <c r="I772" t="str">
        <v>08-Aug</v>
      </c>
      <c r="L772" t="b">
        <v>0</v>
      </c>
      <c r="N772" t="b">
        <v>0</v>
      </c>
    </row>
    <row r="773" spans="1:14" x14ac:dyDescent="0.35">
      <c r="A773">
        <v>286.56</v>
      </c>
      <c r="B773">
        <v>4</v>
      </c>
      <c r="C773">
        <v>0.1137</v>
      </c>
      <c r="D773">
        <v>96.15</v>
      </c>
      <c r="F773" s="7">
        <f t="shared" si="24"/>
        <v>1015.912512</v>
      </c>
      <c r="G773" s="8">
        <f t="shared" si="25"/>
        <v>226.47748799999999</v>
      </c>
      <c r="I773" t="str">
        <v>08-Aug</v>
      </c>
      <c r="L773" t="b">
        <v>0</v>
      </c>
      <c r="N773" t="b">
        <v>0</v>
      </c>
    </row>
    <row r="774" spans="1:14" x14ac:dyDescent="0.35">
      <c r="A774">
        <v>92.13</v>
      </c>
      <c r="B774">
        <v>5</v>
      </c>
      <c r="C774">
        <v>0.1047</v>
      </c>
      <c r="D774">
        <v>51.8</v>
      </c>
      <c r="F774" s="7">
        <f t="shared" si="24"/>
        <v>412.41994499999998</v>
      </c>
      <c r="G774" s="8">
        <f t="shared" si="25"/>
        <v>100.030055</v>
      </c>
      <c r="I774" t="str">
        <v>05-May</v>
      </c>
      <c r="L774" t="b">
        <v>0</v>
      </c>
      <c r="N774" t="b">
        <v>0</v>
      </c>
    </row>
    <row r="775" spans="1:14" x14ac:dyDescent="0.35">
      <c r="A775">
        <v>79.3</v>
      </c>
      <c r="B775">
        <v>4</v>
      </c>
      <c r="C775">
        <v>8.9999999999999998E-4</v>
      </c>
      <c r="D775">
        <v>89.99</v>
      </c>
      <c r="F775" s="7">
        <f t="shared" si="24"/>
        <v>316.91451999999998</v>
      </c>
      <c r="G775" s="8">
        <f t="shared" si="25"/>
        <v>90.275480000000002</v>
      </c>
      <c r="I775" t="str">
        <v>10-Oct</v>
      </c>
      <c r="L775" t="b">
        <v>0</v>
      </c>
      <c r="N775" t="b">
        <v>0</v>
      </c>
    </row>
    <row r="776" spans="1:14" x14ac:dyDescent="0.35">
      <c r="A776">
        <v>110.8</v>
      </c>
      <c r="B776">
        <v>3</v>
      </c>
      <c r="C776">
        <v>0.1883</v>
      </c>
      <c r="D776">
        <v>66.239999999999995</v>
      </c>
      <c r="F776" s="7">
        <f t="shared" si="24"/>
        <v>269.80907999999999</v>
      </c>
      <c r="G776" s="8">
        <f t="shared" si="25"/>
        <v>128.83091999999999</v>
      </c>
      <c r="I776" t="str">
        <v>07-Jul</v>
      </c>
      <c r="L776" t="b">
        <v>0</v>
      </c>
      <c r="N776" t="b">
        <v>0</v>
      </c>
    </row>
    <row r="777" spans="1:14" x14ac:dyDescent="0.35">
      <c r="A777">
        <v>393.78</v>
      </c>
      <c r="B777">
        <v>4</v>
      </c>
      <c r="C777">
        <v>0.23920000000000002</v>
      </c>
      <c r="D777">
        <v>94.85</v>
      </c>
      <c r="F777" s="7">
        <f t="shared" si="24"/>
        <v>1198.3512959999998</v>
      </c>
      <c r="G777" s="8">
        <f t="shared" si="25"/>
        <v>471.61870399999998</v>
      </c>
      <c r="I777" t="str">
        <v>11-Nov</v>
      </c>
      <c r="L777" t="b">
        <v>0</v>
      </c>
      <c r="N777" t="b">
        <v>0</v>
      </c>
    </row>
    <row r="778" spans="1:14" x14ac:dyDescent="0.35">
      <c r="A778">
        <v>107.52</v>
      </c>
      <c r="B778">
        <v>5</v>
      </c>
      <c r="C778">
        <v>0.43969999999999998</v>
      </c>
      <c r="D778">
        <v>71.95</v>
      </c>
      <c r="F778" s="7">
        <f t="shared" si="24"/>
        <v>301.21728000000002</v>
      </c>
      <c r="G778" s="8">
        <f t="shared" si="25"/>
        <v>308.33271999999999</v>
      </c>
      <c r="I778" t="str">
        <v>09-Sep</v>
      </c>
      <c r="L778" t="b">
        <v>0</v>
      </c>
      <c r="N778" t="b">
        <v>0</v>
      </c>
    </row>
    <row r="779" spans="1:14" x14ac:dyDescent="0.35">
      <c r="A779">
        <v>287.64999999999998</v>
      </c>
      <c r="B779">
        <v>5</v>
      </c>
      <c r="C779">
        <v>0.46549999999999997</v>
      </c>
      <c r="D779">
        <v>40.619999999999997</v>
      </c>
      <c r="F779" s="7">
        <f t="shared" si="24"/>
        <v>768.74462499999993</v>
      </c>
      <c r="G779" s="8">
        <f t="shared" si="25"/>
        <v>710.12537499999996</v>
      </c>
      <c r="I779" t="str">
        <v>05-May</v>
      </c>
      <c r="L779" t="b">
        <v>0</v>
      </c>
      <c r="N779" t="b">
        <v>0</v>
      </c>
    </row>
    <row r="780" spans="1:14" x14ac:dyDescent="0.35">
      <c r="A780">
        <v>330.61</v>
      </c>
      <c r="B780">
        <v>3</v>
      </c>
      <c r="C780">
        <v>0.27060000000000001</v>
      </c>
      <c r="D780">
        <v>88.47</v>
      </c>
      <c r="F780" s="7">
        <f t="shared" si="24"/>
        <v>723.44080200000008</v>
      </c>
      <c r="G780" s="8">
        <f t="shared" si="25"/>
        <v>356.85919799999999</v>
      </c>
      <c r="I780" t="str">
        <v>05-May</v>
      </c>
      <c r="L780" t="b">
        <v>0</v>
      </c>
      <c r="N780" t="b">
        <v>0</v>
      </c>
    </row>
    <row r="781" spans="1:14" x14ac:dyDescent="0.35">
      <c r="A781">
        <v>488.5</v>
      </c>
      <c r="B781">
        <v>5</v>
      </c>
      <c r="C781">
        <v>3.49E-2</v>
      </c>
      <c r="D781">
        <v>51.6</v>
      </c>
      <c r="F781" s="7">
        <f t="shared" si="24"/>
        <v>2357.25675</v>
      </c>
      <c r="G781" s="8">
        <f t="shared" si="25"/>
        <v>136.84325000000001</v>
      </c>
      <c r="I781" t="str">
        <v>07-Jul</v>
      </c>
      <c r="L781" t="b">
        <v>0</v>
      </c>
      <c r="N781" t="b">
        <v>0</v>
      </c>
    </row>
    <row r="782" spans="1:14" x14ac:dyDescent="0.35">
      <c r="A782">
        <v>268.39999999999998</v>
      </c>
      <c r="B782">
        <v>5</v>
      </c>
      <c r="C782">
        <v>0.38079999999999997</v>
      </c>
      <c r="D782">
        <v>19.64</v>
      </c>
      <c r="F782" s="7">
        <f t="shared" si="24"/>
        <v>830.96639999999991</v>
      </c>
      <c r="G782" s="8">
        <f t="shared" si="25"/>
        <v>530.67359999999996</v>
      </c>
      <c r="I782" t="str">
        <v>11-Nov</v>
      </c>
      <c r="L782" t="b">
        <v>0</v>
      </c>
      <c r="N782" t="b">
        <v>0</v>
      </c>
    </row>
    <row r="783" spans="1:14" x14ac:dyDescent="0.35">
      <c r="A783">
        <v>79.97</v>
      </c>
      <c r="B783">
        <v>3</v>
      </c>
      <c r="C783">
        <v>0.18160000000000001</v>
      </c>
      <c r="D783">
        <v>25.48</v>
      </c>
      <c r="F783" s="7">
        <f t="shared" si="24"/>
        <v>196.342344</v>
      </c>
      <c r="G783" s="8">
        <f t="shared" si="25"/>
        <v>69.047656000000003</v>
      </c>
      <c r="I783" t="str">
        <v>10-Oct</v>
      </c>
      <c r="L783" t="b">
        <v>0</v>
      </c>
      <c r="N783" t="b">
        <v>0</v>
      </c>
    </row>
    <row r="784" spans="1:14" x14ac:dyDescent="0.35">
      <c r="A784">
        <v>138.27000000000001</v>
      </c>
      <c r="B784">
        <v>4</v>
      </c>
      <c r="C784">
        <v>9.1600000000000001E-2</v>
      </c>
      <c r="D784">
        <v>75.09</v>
      </c>
      <c r="F784" s="7">
        <f t="shared" si="24"/>
        <v>502.41787200000005</v>
      </c>
      <c r="G784" s="8">
        <f t="shared" si="25"/>
        <v>125.752128</v>
      </c>
      <c r="I784" t="str">
        <v>10-Oct</v>
      </c>
      <c r="L784" t="b">
        <v>0</v>
      </c>
      <c r="N784" t="b">
        <v>0</v>
      </c>
    </row>
    <row r="785" spans="1:14" x14ac:dyDescent="0.35">
      <c r="A785">
        <v>334.04</v>
      </c>
      <c r="B785">
        <v>5</v>
      </c>
      <c r="C785">
        <v>0.15190000000000001</v>
      </c>
      <c r="D785">
        <v>23.01</v>
      </c>
      <c r="F785" s="7">
        <f t="shared" si="24"/>
        <v>1416.4966199999999</v>
      </c>
      <c r="G785" s="8">
        <f t="shared" si="25"/>
        <v>276.71338000000003</v>
      </c>
      <c r="I785" t="str">
        <v>04-Apr</v>
      </c>
      <c r="L785" t="b">
        <v>0</v>
      </c>
      <c r="N785" t="b">
        <v>0</v>
      </c>
    </row>
    <row r="786" spans="1:14" x14ac:dyDescent="0.35">
      <c r="A786">
        <v>316.27</v>
      </c>
      <c r="B786">
        <v>4</v>
      </c>
      <c r="C786">
        <v>0.19409999999999999</v>
      </c>
      <c r="D786">
        <v>40.15</v>
      </c>
      <c r="F786" s="7">
        <f t="shared" si="24"/>
        <v>1019.527972</v>
      </c>
      <c r="G786" s="8">
        <f t="shared" si="25"/>
        <v>285.70202799999998</v>
      </c>
      <c r="I786" t="str">
        <v>07-Jul</v>
      </c>
      <c r="L786" t="b">
        <v>0</v>
      </c>
      <c r="N786" t="b">
        <v>0</v>
      </c>
    </row>
    <row r="787" spans="1:14" x14ac:dyDescent="0.35">
      <c r="A787">
        <v>350.06</v>
      </c>
      <c r="B787">
        <v>4</v>
      </c>
      <c r="C787">
        <v>0.26239999999999997</v>
      </c>
      <c r="D787">
        <v>30.51</v>
      </c>
      <c r="F787" s="7">
        <f t="shared" si="24"/>
        <v>1032.8170239999999</v>
      </c>
      <c r="G787" s="8">
        <f t="shared" si="25"/>
        <v>397.93297599999994</v>
      </c>
      <c r="I787" t="str">
        <v>02-Feb</v>
      </c>
      <c r="L787" t="b">
        <v>0</v>
      </c>
      <c r="N787" t="b">
        <v>0</v>
      </c>
    </row>
    <row r="788" spans="1:14" x14ac:dyDescent="0.35">
      <c r="A788">
        <v>233.3</v>
      </c>
      <c r="B788">
        <v>4</v>
      </c>
      <c r="C788">
        <v>0.23149999999999998</v>
      </c>
      <c r="D788">
        <v>93.61</v>
      </c>
      <c r="F788" s="7">
        <f t="shared" si="24"/>
        <v>717.16420000000005</v>
      </c>
      <c r="G788" s="8">
        <f t="shared" si="25"/>
        <v>309.64580000000001</v>
      </c>
      <c r="I788" t="str">
        <v>08-Aug</v>
      </c>
      <c r="L788" t="b">
        <v>0</v>
      </c>
      <c r="N788" t="b">
        <v>0</v>
      </c>
    </row>
    <row r="789" spans="1:14" x14ac:dyDescent="0.35">
      <c r="A789">
        <v>408.12</v>
      </c>
      <c r="B789">
        <v>3</v>
      </c>
      <c r="C789">
        <v>0.38130000000000003</v>
      </c>
      <c r="D789">
        <v>59.79</v>
      </c>
      <c r="F789" s="7">
        <f t="shared" si="24"/>
        <v>757.5115320000001</v>
      </c>
      <c r="G789" s="8">
        <f t="shared" si="25"/>
        <v>526.6384680000001</v>
      </c>
      <c r="I789" t="str">
        <v>04-Apr</v>
      </c>
      <c r="L789" t="b">
        <v>0</v>
      </c>
      <c r="N789" t="b">
        <v>0</v>
      </c>
    </row>
    <row r="790" spans="1:14" x14ac:dyDescent="0.35">
      <c r="A790">
        <v>182.44</v>
      </c>
      <c r="B790">
        <v>4</v>
      </c>
      <c r="C790">
        <v>0.1193</v>
      </c>
      <c r="D790">
        <v>94.54</v>
      </c>
      <c r="F790" s="7">
        <f t="shared" si="24"/>
        <v>642.69963200000007</v>
      </c>
      <c r="G790" s="8">
        <f t="shared" si="25"/>
        <v>181.600368</v>
      </c>
      <c r="I790" t="str">
        <v>10-Oct</v>
      </c>
      <c r="L790" t="b">
        <v>0</v>
      </c>
      <c r="N790" t="b">
        <v>0</v>
      </c>
    </row>
    <row r="791" spans="1:14" x14ac:dyDescent="0.35">
      <c r="A791">
        <v>248.88</v>
      </c>
      <c r="B791">
        <v>5</v>
      </c>
      <c r="C791">
        <v>0.48599999999999999</v>
      </c>
      <c r="D791">
        <v>25.34</v>
      </c>
      <c r="F791" s="7">
        <f t="shared" si="24"/>
        <v>639.62160000000006</v>
      </c>
      <c r="G791" s="8">
        <f t="shared" si="25"/>
        <v>630.11840000000007</v>
      </c>
      <c r="I791" t="str">
        <v>05-May</v>
      </c>
      <c r="L791" t="b">
        <v>0</v>
      </c>
      <c r="N791" t="b">
        <v>0</v>
      </c>
    </row>
    <row r="792" spans="1:14" x14ac:dyDescent="0.35">
      <c r="A792">
        <v>350.42</v>
      </c>
      <c r="B792">
        <v>4</v>
      </c>
      <c r="C792">
        <v>9.4999999999999998E-3</v>
      </c>
      <c r="D792">
        <v>92.57</v>
      </c>
      <c r="F792" s="7">
        <f t="shared" si="24"/>
        <v>1388.3640400000002</v>
      </c>
      <c r="G792" s="8">
        <f t="shared" si="25"/>
        <v>105.88596</v>
      </c>
      <c r="I792" t="str">
        <v>12-Dec</v>
      </c>
      <c r="L792" t="b">
        <v>0</v>
      </c>
      <c r="N792" t="b">
        <v>0</v>
      </c>
    </row>
    <row r="793" spans="1:14" x14ac:dyDescent="0.35">
      <c r="A793">
        <v>453.32</v>
      </c>
      <c r="B793">
        <v>3</v>
      </c>
      <c r="C793">
        <v>0.15670000000000001</v>
      </c>
      <c r="D793">
        <v>94.4</v>
      </c>
      <c r="F793" s="7">
        <f t="shared" si="24"/>
        <v>1146.854268</v>
      </c>
      <c r="G793" s="8">
        <f t="shared" si="25"/>
        <v>307.50573200000002</v>
      </c>
      <c r="I793" t="str">
        <v>12-Dec</v>
      </c>
      <c r="L793" t="b">
        <v>0</v>
      </c>
      <c r="N793" t="b">
        <v>0</v>
      </c>
    </row>
    <row r="794" spans="1:14" x14ac:dyDescent="0.35">
      <c r="A794">
        <v>232.88</v>
      </c>
      <c r="B794">
        <v>5</v>
      </c>
      <c r="C794">
        <v>0.49130000000000001</v>
      </c>
      <c r="D794">
        <v>95.15</v>
      </c>
      <c r="F794" s="7">
        <f t="shared" si="24"/>
        <v>592.33028000000002</v>
      </c>
      <c r="G794" s="8">
        <f t="shared" si="25"/>
        <v>667.21972000000005</v>
      </c>
      <c r="I794" t="str">
        <v>01-Jan</v>
      </c>
      <c r="L794" t="b">
        <v>1</v>
      </c>
      <c r="N794" t="b">
        <v>0</v>
      </c>
    </row>
    <row r="795" spans="1:14" x14ac:dyDescent="0.35">
      <c r="A795">
        <v>241.59</v>
      </c>
      <c r="B795">
        <v>4</v>
      </c>
      <c r="C795">
        <v>0.39159999999999995</v>
      </c>
      <c r="D795">
        <v>87.07</v>
      </c>
      <c r="F795" s="7">
        <f t="shared" si="24"/>
        <v>587.93342400000006</v>
      </c>
      <c r="G795" s="8">
        <f t="shared" si="25"/>
        <v>465.49657599999995</v>
      </c>
      <c r="I795" t="str">
        <v>05-May</v>
      </c>
      <c r="L795" t="b">
        <v>0</v>
      </c>
      <c r="N795" t="b">
        <v>0</v>
      </c>
    </row>
    <row r="796" spans="1:14" x14ac:dyDescent="0.35">
      <c r="A796">
        <v>89.53</v>
      </c>
      <c r="B796">
        <v>3</v>
      </c>
      <c r="C796">
        <v>0.4279</v>
      </c>
      <c r="D796">
        <v>65.92</v>
      </c>
      <c r="F796" s="7">
        <f t="shared" si="24"/>
        <v>153.66033900000002</v>
      </c>
      <c r="G796" s="8">
        <f t="shared" si="25"/>
        <v>180.84966100000003</v>
      </c>
      <c r="I796" t="str">
        <v>01-Jan</v>
      </c>
      <c r="L796" t="b">
        <v>1</v>
      </c>
      <c r="N796" t="b">
        <v>0</v>
      </c>
    </row>
    <row r="797" spans="1:14" x14ac:dyDescent="0.35">
      <c r="A797">
        <v>370.2</v>
      </c>
      <c r="B797">
        <v>5</v>
      </c>
      <c r="C797">
        <v>0.20440000000000003</v>
      </c>
      <c r="D797">
        <v>46.94</v>
      </c>
      <c r="F797" s="7">
        <f t="shared" si="24"/>
        <v>1472.6556</v>
      </c>
      <c r="G797" s="8">
        <f t="shared" si="25"/>
        <v>425.28440000000006</v>
      </c>
      <c r="I797" t="str">
        <v>01-Jan</v>
      </c>
      <c r="L797" t="b">
        <v>1</v>
      </c>
      <c r="N797" t="b">
        <v>0</v>
      </c>
    </row>
    <row r="798" spans="1:14" x14ac:dyDescent="0.35">
      <c r="A798">
        <v>179.53</v>
      </c>
      <c r="B798">
        <v>4</v>
      </c>
      <c r="C798">
        <v>0.32750000000000001</v>
      </c>
      <c r="D798">
        <v>16.23</v>
      </c>
      <c r="F798" s="7">
        <f t="shared" si="24"/>
        <v>482.9357</v>
      </c>
      <c r="G798" s="8">
        <f t="shared" si="25"/>
        <v>251.4143</v>
      </c>
      <c r="I798" t="str">
        <v>11-Nov</v>
      </c>
      <c r="L798" t="b">
        <v>0</v>
      </c>
      <c r="N798" t="b">
        <v>0</v>
      </c>
    </row>
    <row r="799" spans="1:14" x14ac:dyDescent="0.35">
      <c r="A799">
        <v>376.83</v>
      </c>
      <c r="B799">
        <v>3</v>
      </c>
      <c r="C799">
        <v>0.43829999999999997</v>
      </c>
      <c r="D799">
        <v>33.590000000000003</v>
      </c>
      <c r="F799" s="7">
        <f t="shared" si="24"/>
        <v>634.99623300000007</v>
      </c>
      <c r="G799" s="8">
        <f t="shared" si="25"/>
        <v>529.08376699999997</v>
      </c>
      <c r="I799" t="str">
        <v>09-Sep</v>
      </c>
      <c r="L799" t="b">
        <v>0</v>
      </c>
      <c r="N799" t="b">
        <v>0</v>
      </c>
    </row>
    <row r="800" spans="1:14" x14ac:dyDescent="0.35">
      <c r="A800">
        <v>423.42</v>
      </c>
      <c r="B800">
        <v>3</v>
      </c>
      <c r="C800">
        <v>0.37810000000000005</v>
      </c>
      <c r="D800">
        <v>86.48</v>
      </c>
      <c r="F800" s="7">
        <f t="shared" si="24"/>
        <v>789.97469399999989</v>
      </c>
      <c r="G800" s="8">
        <f t="shared" si="25"/>
        <v>566.76530600000001</v>
      </c>
      <c r="I800" t="str">
        <v>06-Jun</v>
      </c>
      <c r="L800" t="b">
        <v>0</v>
      </c>
      <c r="N800" t="b">
        <v>0</v>
      </c>
    </row>
    <row r="801" spans="1:14" x14ac:dyDescent="0.35">
      <c r="A801">
        <v>493.18</v>
      </c>
      <c r="B801">
        <v>5</v>
      </c>
      <c r="C801">
        <v>0.1065</v>
      </c>
      <c r="D801">
        <v>74.260000000000005</v>
      </c>
      <c r="F801" s="7">
        <f t="shared" si="24"/>
        <v>2203.2816499999999</v>
      </c>
      <c r="G801" s="8">
        <f t="shared" si="25"/>
        <v>336.87835000000001</v>
      </c>
      <c r="I801" t="str">
        <v>08-Aug</v>
      </c>
      <c r="L801" t="b">
        <v>0</v>
      </c>
      <c r="N801" t="b">
        <v>0</v>
      </c>
    </row>
    <row r="802" spans="1:14" x14ac:dyDescent="0.35">
      <c r="A802">
        <v>471.44</v>
      </c>
      <c r="B802">
        <v>4</v>
      </c>
      <c r="C802">
        <v>0.2944</v>
      </c>
      <c r="D802">
        <v>81.06</v>
      </c>
      <c r="F802" s="7">
        <f t="shared" si="24"/>
        <v>1330.5922559999999</v>
      </c>
      <c r="G802" s="8">
        <f t="shared" si="25"/>
        <v>636.22774400000003</v>
      </c>
      <c r="I802" t="str">
        <v>04-Apr</v>
      </c>
      <c r="L802" t="b">
        <v>0</v>
      </c>
      <c r="N802" t="b">
        <v>0</v>
      </c>
    </row>
    <row r="803" spans="1:14" x14ac:dyDescent="0.35">
      <c r="A803">
        <v>133.38999999999999</v>
      </c>
      <c r="B803">
        <v>3</v>
      </c>
      <c r="C803">
        <v>0.26739999999999997</v>
      </c>
      <c r="D803">
        <v>57.11</v>
      </c>
      <c r="F803" s="7">
        <f t="shared" si="24"/>
        <v>293.16454199999998</v>
      </c>
      <c r="G803" s="8">
        <f t="shared" si="25"/>
        <v>164.11545799999999</v>
      </c>
      <c r="I803" t="str">
        <v>09-Sep</v>
      </c>
      <c r="L803" t="b">
        <v>0</v>
      </c>
      <c r="N803" t="b">
        <v>0</v>
      </c>
    </row>
    <row r="804" spans="1:14" x14ac:dyDescent="0.35">
      <c r="A804">
        <v>146.07</v>
      </c>
      <c r="B804">
        <v>3</v>
      </c>
      <c r="C804">
        <v>0.48570000000000002</v>
      </c>
      <c r="D804">
        <v>64.819999999999993</v>
      </c>
      <c r="F804" s="7">
        <f t="shared" si="24"/>
        <v>225.37140299999999</v>
      </c>
      <c r="G804" s="8">
        <f t="shared" si="25"/>
        <v>277.65859699999999</v>
      </c>
      <c r="I804" t="str">
        <v>01-Jan</v>
      </c>
      <c r="L804" t="b">
        <v>1</v>
      </c>
      <c r="N804" t="b">
        <v>0</v>
      </c>
    </row>
    <row r="805" spans="1:14" x14ac:dyDescent="0.35">
      <c r="A805">
        <v>79.569999999999993</v>
      </c>
      <c r="B805">
        <v>4</v>
      </c>
      <c r="C805">
        <v>0.13100000000000001</v>
      </c>
      <c r="D805">
        <v>61.03</v>
      </c>
      <c r="F805" s="7">
        <f t="shared" si="24"/>
        <v>276.58531999999997</v>
      </c>
      <c r="G805" s="8">
        <f t="shared" si="25"/>
        <v>102.72468000000001</v>
      </c>
      <c r="I805" t="str">
        <v>09-Sep</v>
      </c>
      <c r="L805" t="b">
        <v>0</v>
      </c>
      <c r="N805" t="b">
        <v>0</v>
      </c>
    </row>
    <row r="806" spans="1:14" x14ac:dyDescent="0.35">
      <c r="A806">
        <v>382.99</v>
      </c>
      <c r="B806">
        <v>5</v>
      </c>
      <c r="C806">
        <v>0.33399999999999996</v>
      </c>
      <c r="D806">
        <v>66.319999999999993</v>
      </c>
      <c r="F806" s="7">
        <f t="shared" si="24"/>
        <v>1275.3567</v>
      </c>
      <c r="G806" s="8">
        <f t="shared" si="25"/>
        <v>705.91329999999994</v>
      </c>
      <c r="I806" t="str">
        <v>09-Sep</v>
      </c>
      <c r="L806" t="b">
        <v>0</v>
      </c>
      <c r="N806" t="b">
        <v>0</v>
      </c>
    </row>
    <row r="807" spans="1:14" x14ac:dyDescent="0.35">
      <c r="A807">
        <v>377.29</v>
      </c>
      <c r="B807">
        <v>5</v>
      </c>
      <c r="C807">
        <v>8.9499999999999996E-2</v>
      </c>
      <c r="D807">
        <v>93.71</v>
      </c>
      <c r="F807" s="7">
        <f t="shared" si="24"/>
        <v>1717.612725</v>
      </c>
      <c r="G807" s="8">
        <f t="shared" si="25"/>
        <v>262.54727500000001</v>
      </c>
      <c r="I807" t="str">
        <v>09-Sep</v>
      </c>
      <c r="L807" t="b">
        <v>0</v>
      </c>
      <c r="N807" t="b">
        <v>0</v>
      </c>
    </row>
    <row r="808" spans="1:14" x14ac:dyDescent="0.35">
      <c r="A808">
        <v>271.93</v>
      </c>
      <c r="B808">
        <v>5</v>
      </c>
      <c r="C808">
        <v>0.2175</v>
      </c>
      <c r="D808">
        <v>31.67</v>
      </c>
      <c r="F808" s="7">
        <f t="shared" si="24"/>
        <v>1063.926125</v>
      </c>
      <c r="G808" s="8">
        <f t="shared" si="25"/>
        <v>327.39387500000004</v>
      </c>
      <c r="I808" t="str">
        <v>02-Feb</v>
      </c>
      <c r="L808" t="b">
        <v>0</v>
      </c>
      <c r="N808" t="b">
        <v>0</v>
      </c>
    </row>
    <row r="809" spans="1:14" x14ac:dyDescent="0.35">
      <c r="A809">
        <v>79.95</v>
      </c>
      <c r="B809">
        <v>3</v>
      </c>
      <c r="C809">
        <v>0.45840000000000003</v>
      </c>
      <c r="D809">
        <v>83.58</v>
      </c>
      <c r="F809" s="7">
        <f t="shared" si="24"/>
        <v>129.90276</v>
      </c>
      <c r="G809" s="8">
        <f t="shared" si="25"/>
        <v>193.52724000000001</v>
      </c>
      <c r="I809" t="str">
        <v>05-May</v>
      </c>
      <c r="L809" t="b">
        <v>0</v>
      </c>
      <c r="N809" t="b">
        <v>0</v>
      </c>
    </row>
    <row r="810" spans="1:14" x14ac:dyDescent="0.35">
      <c r="A810">
        <v>198.08</v>
      </c>
      <c r="B810">
        <v>4</v>
      </c>
      <c r="C810">
        <v>0.20329999999999998</v>
      </c>
      <c r="D810">
        <v>97.59</v>
      </c>
      <c r="F810" s="7">
        <f t="shared" si="24"/>
        <v>631.24134400000003</v>
      </c>
      <c r="G810" s="8">
        <f t="shared" si="25"/>
        <v>258.668656</v>
      </c>
      <c r="I810" t="str">
        <v>05-May</v>
      </c>
      <c r="L810" t="b">
        <v>0</v>
      </c>
      <c r="N810" t="b">
        <v>0</v>
      </c>
    </row>
    <row r="811" spans="1:14" x14ac:dyDescent="0.35">
      <c r="A811">
        <v>478.81</v>
      </c>
      <c r="B811">
        <v>5</v>
      </c>
      <c r="C811">
        <v>0.34149999999999997</v>
      </c>
      <c r="D811">
        <v>87.14</v>
      </c>
      <c r="F811" s="7">
        <f t="shared" si="24"/>
        <v>1576.4819250000003</v>
      </c>
      <c r="G811" s="8">
        <f t="shared" si="25"/>
        <v>904.70807500000001</v>
      </c>
      <c r="I811" t="str">
        <v>02-Feb</v>
      </c>
      <c r="L811" t="b">
        <v>0</v>
      </c>
      <c r="N811" t="b">
        <v>0</v>
      </c>
    </row>
    <row r="812" spans="1:14" x14ac:dyDescent="0.35">
      <c r="A812">
        <v>242.02</v>
      </c>
      <c r="B812">
        <v>5</v>
      </c>
      <c r="C812">
        <v>0.45710000000000001</v>
      </c>
      <c r="D812">
        <v>38.36</v>
      </c>
      <c r="F812" s="7">
        <f t="shared" si="24"/>
        <v>656.96329000000003</v>
      </c>
      <c r="G812" s="8">
        <f t="shared" si="25"/>
        <v>591.49671000000012</v>
      </c>
      <c r="I812" t="str">
        <v>01-Jan</v>
      </c>
      <c r="L812" t="b">
        <v>1</v>
      </c>
      <c r="N812" t="b">
        <v>0</v>
      </c>
    </row>
    <row r="813" spans="1:14" x14ac:dyDescent="0.35">
      <c r="A813">
        <v>450.14</v>
      </c>
      <c r="B813">
        <v>4</v>
      </c>
      <c r="C813">
        <v>0.34670000000000001</v>
      </c>
      <c r="D813">
        <v>51.83</v>
      </c>
      <c r="F813" s="7">
        <f t="shared" si="24"/>
        <v>1176.305848</v>
      </c>
      <c r="G813" s="8">
        <f t="shared" si="25"/>
        <v>676.08415200000002</v>
      </c>
      <c r="I813" t="str">
        <v>12-Dec</v>
      </c>
      <c r="L813" t="b">
        <v>0</v>
      </c>
      <c r="N813" t="b">
        <v>0</v>
      </c>
    </row>
    <row r="814" spans="1:14" x14ac:dyDescent="0.35">
      <c r="A814">
        <v>410.31</v>
      </c>
      <c r="B814">
        <v>5</v>
      </c>
      <c r="C814">
        <v>0.433</v>
      </c>
      <c r="D814">
        <v>78.27</v>
      </c>
      <c r="F814" s="7">
        <f t="shared" si="24"/>
        <v>1163.22885</v>
      </c>
      <c r="G814" s="8">
        <f t="shared" si="25"/>
        <v>966.59115000000008</v>
      </c>
      <c r="I814" t="str">
        <v>08-Aug</v>
      </c>
      <c r="L814" t="b">
        <v>0</v>
      </c>
      <c r="N814" t="b">
        <v>0</v>
      </c>
    </row>
    <row r="815" spans="1:14" x14ac:dyDescent="0.35">
      <c r="A815">
        <v>91.3</v>
      </c>
      <c r="B815">
        <v>4</v>
      </c>
      <c r="C815">
        <v>0.45369999999999999</v>
      </c>
      <c r="D815">
        <v>98.31</v>
      </c>
      <c r="F815" s="7">
        <f t="shared" si="24"/>
        <v>199.50876</v>
      </c>
      <c r="G815" s="8">
        <f t="shared" si="25"/>
        <v>264.00124</v>
      </c>
      <c r="I815" t="str">
        <v>02-Feb</v>
      </c>
      <c r="L815" t="b">
        <v>0</v>
      </c>
      <c r="N815" t="b">
        <v>0</v>
      </c>
    </row>
    <row r="816" spans="1:14" x14ac:dyDescent="0.35">
      <c r="A816">
        <v>120.4</v>
      </c>
      <c r="B816">
        <v>5</v>
      </c>
      <c r="C816">
        <v>0.46590000000000004</v>
      </c>
      <c r="D816">
        <v>91.97</v>
      </c>
      <c r="F816" s="7">
        <f t="shared" si="24"/>
        <v>321.52820000000003</v>
      </c>
      <c r="G816" s="8">
        <f t="shared" si="25"/>
        <v>372.44180000000006</v>
      </c>
      <c r="I816" t="str">
        <v>12-Dec</v>
      </c>
      <c r="L816" t="b">
        <v>0</v>
      </c>
      <c r="N816" t="b">
        <v>0</v>
      </c>
    </row>
    <row r="817" spans="1:14" x14ac:dyDescent="0.35">
      <c r="A817">
        <v>433.96</v>
      </c>
      <c r="B817">
        <v>5</v>
      </c>
      <c r="C817">
        <v>0.40619999999999995</v>
      </c>
      <c r="D817">
        <v>53.4</v>
      </c>
      <c r="F817" s="7">
        <f t="shared" si="24"/>
        <v>1288.42724</v>
      </c>
      <c r="G817" s="8">
        <f t="shared" si="25"/>
        <v>934.77275999999972</v>
      </c>
      <c r="I817" t="str">
        <v>02-Feb</v>
      </c>
      <c r="L817" t="b">
        <v>0</v>
      </c>
      <c r="N817" t="b">
        <v>0</v>
      </c>
    </row>
    <row r="818" spans="1:14" x14ac:dyDescent="0.35">
      <c r="A818">
        <v>245.28</v>
      </c>
      <c r="B818">
        <v>3</v>
      </c>
      <c r="C818">
        <v>0.1326</v>
      </c>
      <c r="D818">
        <v>84.22</v>
      </c>
      <c r="F818" s="7">
        <f t="shared" si="24"/>
        <v>638.26761599999998</v>
      </c>
      <c r="G818" s="8">
        <f t="shared" si="25"/>
        <v>181.792384</v>
      </c>
      <c r="I818" t="str">
        <v>10-Oct</v>
      </c>
      <c r="L818" t="b">
        <v>0</v>
      </c>
      <c r="N818" t="b">
        <v>0</v>
      </c>
    </row>
    <row r="819" spans="1:14" x14ac:dyDescent="0.35">
      <c r="A819">
        <v>361.8</v>
      </c>
      <c r="B819">
        <v>4</v>
      </c>
      <c r="C819">
        <v>0.33630000000000004</v>
      </c>
      <c r="D819">
        <v>59.53</v>
      </c>
      <c r="F819" s="7">
        <f t="shared" si="24"/>
        <v>960.50663999999995</v>
      </c>
      <c r="G819" s="8">
        <f t="shared" si="25"/>
        <v>546.22336000000007</v>
      </c>
      <c r="I819" t="str">
        <v>02-Feb</v>
      </c>
      <c r="L819" t="b">
        <v>0</v>
      </c>
      <c r="N819" t="b">
        <v>0</v>
      </c>
    </row>
    <row r="820" spans="1:14" x14ac:dyDescent="0.35">
      <c r="A820">
        <v>296.11</v>
      </c>
      <c r="B820">
        <v>4</v>
      </c>
      <c r="C820">
        <v>0.14550000000000002</v>
      </c>
      <c r="D820">
        <v>46.78</v>
      </c>
      <c r="F820" s="7">
        <f t="shared" si="24"/>
        <v>1012.1039800000001</v>
      </c>
      <c r="G820" s="8">
        <f t="shared" si="25"/>
        <v>219.11602000000002</v>
      </c>
      <c r="I820" t="str">
        <v>11-Nov</v>
      </c>
      <c r="L820" t="b">
        <v>0</v>
      </c>
      <c r="N820" t="b">
        <v>0</v>
      </c>
    </row>
    <row r="821" spans="1:14" x14ac:dyDescent="0.35">
      <c r="A821">
        <v>290.37</v>
      </c>
      <c r="B821">
        <v>3</v>
      </c>
      <c r="C821">
        <v>6.4299999999999996E-2</v>
      </c>
      <c r="D821">
        <v>60.99</v>
      </c>
      <c r="F821" s="7">
        <f t="shared" si="24"/>
        <v>815.09762699999999</v>
      </c>
      <c r="G821" s="8">
        <f t="shared" si="25"/>
        <v>117.00237300000001</v>
      </c>
      <c r="I821" t="str">
        <v>02-Feb</v>
      </c>
      <c r="L821" t="b">
        <v>0</v>
      </c>
      <c r="N821" t="b">
        <v>0</v>
      </c>
    </row>
    <row r="822" spans="1:14" x14ac:dyDescent="0.35">
      <c r="A822">
        <v>378.28</v>
      </c>
      <c r="B822">
        <v>5</v>
      </c>
      <c r="C822">
        <v>0.21920000000000001</v>
      </c>
      <c r="D822">
        <v>87.75</v>
      </c>
      <c r="F822" s="7">
        <f t="shared" si="24"/>
        <v>1476.8051199999998</v>
      </c>
      <c r="G822" s="8">
        <f t="shared" si="25"/>
        <v>502.34487999999999</v>
      </c>
      <c r="I822" t="str">
        <v>06-Jun</v>
      </c>
      <c r="L822" t="b">
        <v>0</v>
      </c>
      <c r="N822" t="b">
        <v>0</v>
      </c>
    </row>
    <row r="823" spans="1:14" x14ac:dyDescent="0.35">
      <c r="A823">
        <v>322.12</v>
      </c>
      <c r="B823">
        <v>4</v>
      </c>
      <c r="C823">
        <v>0.4622</v>
      </c>
      <c r="D823">
        <v>71.72</v>
      </c>
      <c r="F823" s="7">
        <f t="shared" si="24"/>
        <v>692.94454400000006</v>
      </c>
      <c r="G823" s="8">
        <f t="shared" si="25"/>
        <v>667.25545599999998</v>
      </c>
      <c r="I823" t="str">
        <v>08-Aug</v>
      </c>
      <c r="L823" t="b">
        <v>0</v>
      </c>
      <c r="N823" t="b">
        <v>0</v>
      </c>
    </row>
    <row r="824" spans="1:14" x14ac:dyDescent="0.35">
      <c r="A824">
        <v>251.99</v>
      </c>
      <c r="B824">
        <v>4</v>
      </c>
      <c r="C824">
        <v>0.1091</v>
      </c>
      <c r="D824">
        <v>55.93</v>
      </c>
      <c r="F824" s="7">
        <f t="shared" si="24"/>
        <v>897.99156400000004</v>
      </c>
      <c r="G824" s="8">
        <f t="shared" si="25"/>
        <v>165.898436</v>
      </c>
      <c r="I824" t="str">
        <v>09-Sep</v>
      </c>
      <c r="L824" t="b">
        <v>0</v>
      </c>
      <c r="N824" t="b">
        <v>0</v>
      </c>
    </row>
    <row r="825" spans="1:14" x14ac:dyDescent="0.35">
      <c r="A825">
        <v>480.31</v>
      </c>
      <c r="B825">
        <v>5</v>
      </c>
      <c r="C825">
        <v>0.2253</v>
      </c>
      <c r="D825">
        <v>32.5</v>
      </c>
      <c r="F825" s="7">
        <f t="shared" si="24"/>
        <v>1860.480785</v>
      </c>
      <c r="G825" s="8">
        <f t="shared" si="25"/>
        <v>573.56921499999999</v>
      </c>
      <c r="I825" t="str">
        <v>06-Jun</v>
      </c>
      <c r="L825" t="b">
        <v>0</v>
      </c>
      <c r="N825" t="b">
        <v>0</v>
      </c>
    </row>
    <row r="826" spans="1:14" x14ac:dyDescent="0.35">
      <c r="A826">
        <v>367.29</v>
      </c>
      <c r="B826">
        <v>4</v>
      </c>
      <c r="C826">
        <v>0.29670000000000002</v>
      </c>
      <c r="D826">
        <v>65.08</v>
      </c>
      <c r="F826" s="7">
        <f t="shared" si="24"/>
        <v>1033.2602280000001</v>
      </c>
      <c r="G826" s="8">
        <f t="shared" si="25"/>
        <v>500.97977200000003</v>
      </c>
      <c r="I826" t="str">
        <v>04-Apr</v>
      </c>
      <c r="L826" t="b">
        <v>0</v>
      </c>
      <c r="N826" t="b">
        <v>0</v>
      </c>
    </row>
    <row r="827" spans="1:14" x14ac:dyDescent="0.35">
      <c r="A827">
        <v>319.77999999999997</v>
      </c>
      <c r="B827">
        <v>4</v>
      </c>
      <c r="C827">
        <v>0.22320000000000001</v>
      </c>
      <c r="D827">
        <v>73.88</v>
      </c>
      <c r="F827" s="7">
        <f t="shared" si="24"/>
        <v>993.62041599999986</v>
      </c>
      <c r="G827" s="8">
        <f t="shared" si="25"/>
        <v>359.37958399999997</v>
      </c>
      <c r="I827" t="str">
        <v>05-May</v>
      </c>
      <c r="L827" t="b">
        <v>0</v>
      </c>
      <c r="N827" t="b">
        <v>0</v>
      </c>
    </row>
    <row r="828" spans="1:14" x14ac:dyDescent="0.35">
      <c r="A828">
        <v>495.37</v>
      </c>
      <c r="B828">
        <v>5</v>
      </c>
      <c r="C828">
        <v>0.34990000000000004</v>
      </c>
      <c r="D828">
        <v>26.43</v>
      </c>
      <c r="F828" s="7">
        <f t="shared" si="24"/>
        <v>1610.2001849999997</v>
      </c>
      <c r="G828" s="8">
        <f t="shared" si="25"/>
        <v>893.07981500000005</v>
      </c>
      <c r="I828" t="str">
        <v>07-Jul</v>
      </c>
      <c r="L828" t="b">
        <v>0</v>
      </c>
      <c r="N828" t="b">
        <v>0</v>
      </c>
    </row>
    <row r="829" spans="1:14" x14ac:dyDescent="0.35">
      <c r="A829">
        <v>151.28</v>
      </c>
      <c r="B829">
        <v>5</v>
      </c>
      <c r="C829">
        <v>1.44E-2</v>
      </c>
      <c r="D829">
        <v>40.450000000000003</v>
      </c>
      <c r="F829" s="7">
        <f t="shared" si="24"/>
        <v>745.50783999999999</v>
      </c>
      <c r="G829" s="8">
        <f t="shared" si="25"/>
        <v>51.34216</v>
      </c>
      <c r="I829" t="str">
        <v>10-Oct</v>
      </c>
      <c r="L829" t="b">
        <v>0</v>
      </c>
      <c r="N829" t="b">
        <v>0</v>
      </c>
    </row>
    <row r="830" spans="1:14" x14ac:dyDescent="0.35">
      <c r="A830">
        <v>374.5</v>
      </c>
      <c r="B830">
        <v>4</v>
      </c>
      <c r="C830">
        <v>0.35729999999999995</v>
      </c>
      <c r="D830">
        <v>28.01</v>
      </c>
      <c r="F830" s="7">
        <f t="shared" si="24"/>
        <v>962.76460000000009</v>
      </c>
      <c r="G830" s="8">
        <f t="shared" si="25"/>
        <v>563.2453999999999</v>
      </c>
      <c r="I830" t="str">
        <v>03-Mar</v>
      </c>
      <c r="L830" t="b">
        <v>0</v>
      </c>
      <c r="N830" t="b">
        <v>0</v>
      </c>
    </row>
    <row r="831" spans="1:14" x14ac:dyDescent="0.35">
      <c r="A831">
        <v>207.1</v>
      </c>
      <c r="B831">
        <v>5</v>
      </c>
      <c r="C831">
        <v>0.44400000000000001</v>
      </c>
      <c r="D831">
        <v>77.290000000000006</v>
      </c>
      <c r="F831" s="7">
        <f t="shared" si="24"/>
        <v>575.73800000000006</v>
      </c>
      <c r="G831" s="8">
        <f t="shared" si="25"/>
        <v>537.05200000000002</v>
      </c>
      <c r="I831" t="str">
        <v>06-Jun</v>
      </c>
      <c r="L831" t="b">
        <v>0</v>
      </c>
      <c r="N831" t="b">
        <v>0</v>
      </c>
    </row>
    <row r="832" spans="1:14" x14ac:dyDescent="0.35">
      <c r="A832">
        <v>334.42</v>
      </c>
      <c r="B832">
        <v>5</v>
      </c>
      <c r="C832">
        <v>0.24129999999999999</v>
      </c>
      <c r="D832">
        <v>45.89</v>
      </c>
      <c r="F832" s="7">
        <f t="shared" si="24"/>
        <v>1268.6222700000001</v>
      </c>
      <c r="G832" s="8">
        <f t="shared" si="25"/>
        <v>449.36772999999999</v>
      </c>
      <c r="I832" t="str">
        <v>02-Feb</v>
      </c>
      <c r="L832" t="b">
        <v>0</v>
      </c>
      <c r="N832" t="b">
        <v>0</v>
      </c>
    </row>
    <row r="833" spans="1:14" x14ac:dyDescent="0.35">
      <c r="A833">
        <v>93.25</v>
      </c>
      <c r="B833">
        <v>3</v>
      </c>
      <c r="C833">
        <v>0.33299999999999996</v>
      </c>
      <c r="D833">
        <v>34.369999999999997</v>
      </c>
      <c r="F833" s="7">
        <f t="shared" si="24"/>
        <v>186.59325000000001</v>
      </c>
      <c r="G833" s="8">
        <f t="shared" si="25"/>
        <v>127.52674999999999</v>
      </c>
      <c r="I833" t="str">
        <v>01-Jan</v>
      </c>
      <c r="L833" t="b">
        <v>1</v>
      </c>
      <c r="N833" t="b">
        <v>0</v>
      </c>
    </row>
    <row r="834" spans="1:14" x14ac:dyDescent="0.35">
      <c r="A834">
        <v>303.18</v>
      </c>
      <c r="B834">
        <v>4</v>
      </c>
      <c r="C834">
        <v>0.23399999999999999</v>
      </c>
      <c r="D834">
        <v>54.49</v>
      </c>
      <c r="F834" s="7">
        <f t="shared" si="24"/>
        <v>928.94352000000003</v>
      </c>
      <c r="G834" s="8">
        <f t="shared" si="25"/>
        <v>338.26648</v>
      </c>
      <c r="I834" t="str">
        <v>12-Dec</v>
      </c>
      <c r="L834" t="b">
        <v>0</v>
      </c>
      <c r="N834" t="b">
        <v>0</v>
      </c>
    </row>
    <row r="835" spans="1:14" x14ac:dyDescent="0.35">
      <c r="A835">
        <v>157.47</v>
      </c>
      <c r="B835">
        <v>3</v>
      </c>
      <c r="C835">
        <v>0.25180000000000002</v>
      </c>
      <c r="D835">
        <v>34.42</v>
      </c>
      <c r="F835" s="7">
        <f t="shared" ref="F835:F898" si="26">($A835*$B835)*(1-$C835)</f>
        <v>353.45716199999998</v>
      </c>
      <c r="G835" s="8">
        <f t="shared" ref="G835:G898" si="27">D835+(A835*B835*C835)</f>
        <v>153.372838</v>
      </c>
      <c r="I835" t="str">
        <v>09-Sep</v>
      </c>
      <c r="L835" t="b">
        <v>0</v>
      </c>
      <c r="N835" t="b">
        <v>0</v>
      </c>
    </row>
    <row r="836" spans="1:14" x14ac:dyDescent="0.35">
      <c r="A836">
        <v>239.1</v>
      </c>
      <c r="B836">
        <v>4</v>
      </c>
      <c r="C836">
        <v>0.47700000000000004</v>
      </c>
      <c r="D836">
        <v>71.16</v>
      </c>
      <c r="F836" s="7">
        <f t="shared" si="26"/>
        <v>500.1971999999999</v>
      </c>
      <c r="G836" s="8">
        <f t="shared" si="27"/>
        <v>527.36279999999999</v>
      </c>
      <c r="I836" t="str">
        <v>10-Oct</v>
      </c>
      <c r="L836" t="b">
        <v>0</v>
      </c>
      <c r="N836" t="b">
        <v>0</v>
      </c>
    </row>
    <row r="837" spans="1:14" x14ac:dyDescent="0.35">
      <c r="A837">
        <v>364.08</v>
      </c>
      <c r="B837">
        <v>3</v>
      </c>
      <c r="C837">
        <v>0.35210000000000002</v>
      </c>
      <c r="D837">
        <v>49.01</v>
      </c>
      <c r="F837" s="7">
        <f t="shared" si="26"/>
        <v>707.66229599999997</v>
      </c>
      <c r="G837" s="8">
        <f t="shared" si="27"/>
        <v>433.58770400000003</v>
      </c>
      <c r="I837" t="str">
        <v>04-Apr</v>
      </c>
      <c r="L837" t="b">
        <v>0</v>
      </c>
      <c r="N837" t="b">
        <v>0</v>
      </c>
    </row>
    <row r="838" spans="1:14" x14ac:dyDescent="0.35">
      <c r="A838">
        <v>203.71</v>
      </c>
      <c r="B838">
        <v>4</v>
      </c>
      <c r="C838">
        <v>0.38969999999999999</v>
      </c>
      <c r="D838">
        <v>79.45</v>
      </c>
      <c r="F838" s="7">
        <f t="shared" si="26"/>
        <v>497.29685200000006</v>
      </c>
      <c r="G838" s="8">
        <f t="shared" si="27"/>
        <v>396.99314800000002</v>
      </c>
      <c r="I838" t="str">
        <v>06-Jun</v>
      </c>
      <c r="L838" t="b">
        <v>0</v>
      </c>
      <c r="N838" t="b">
        <v>0</v>
      </c>
    </row>
    <row r="839" spans="1:14" x14ac:dyDescent="0.35">
      <c r="A839">
        <v>306.29000000000002</v>
      </c>
      <c r="B839">
        <v>4</v>
      </c>
      <c r="C839">
        <v>0.12240000000000001</v>
      </c>
      <c r="D839">
        <v>87.49</v>
      </c>
      <c r="F839" s="7">
        <f t="shared" si="26"/>
        <v>1075.2004159999999</v>
      </c>
      <c r="G839" s="8">
        <f t="shared" si="27"/>
        <v>237.44958400000002</v>
      </c>
      <c r="I839" t="str">
        <v>01-Jan</v>
      </c>
      <c r="L839" t="b">
        <v>1</v>
      </c>
      <c r="N839" t="b">
        <v>0</v>
      </c>
    </row>
    <row r="840" spans="1:14" x14ac:dyDescent="0.35">
      <c r="A840">
        <v>240.08</v>
      </c>
      <c r="B840">
        <v>3</v>
      </c>
      <c r="C840">
        <v>0.40479999999999999</v>
      </c>
      <c r="D840">
        <v>95</v>
      </c>
      <c r="F840" s="7">
        <f t="shared" si="26"/>
        <v>428.686848</v>
      </c>
      <c r="G840" s="8">
        <f t="shared" si="27"/>
        <v>386.55315200000001</v>
      </c>
      <c r="I840" t="str">
        <v>12-Dec</v>
      </c>
      <c r="L840" t="b">
        <v>0</v>
      </c>
      <c r="N840" t="b">
        <v>0</v>
      </c>
    </row>
    <row r="841" spans="1:14" x14ac:dyDescent="0.35">
      <c r="A841">
        <v>361.24</v>
      </c>
      <c r="B841">
        <v>4</v>
      </c>
      <c r="C841">
        <v>0.2213</v>
      </c>
      <c r="D841">
        <v>26.67</v>
      </c>
      <c r="F841" s="7">
        <f t="shared" si="26"/>
        <v>1125.1903519999998</v>
      </c>
      <c r="G841" s="8">
        <f t="shared" si="27"/>
        <v>346.43964800000003</v>
      </c>
      <c r="I841" t="str">
        <v>10-Oct</v>
      </c>
      <c r="L841" t="b">
        <v>0</v>
      </c>
      <c r="N841" t="b">
        <v>0</v>
      </c>
    </row>
    <row r="842" spans="1:14" x14ac:dyDescent="0.35">
      <c r="A842">
        <v>160.72999999999999</v>
      </c>
      <c r="B842">
        <v>5</v>
      </c>
      <c r="C842">
        <v>5.4900000000000004E-2</v>
      </c>
      <c r="D842">
        <v>13.57</v>
      </c>
      <c r="F842" s="7">
        <f t="shared" si="26"/>
        <v>759.52961500000004</v>
      </c>
      <c r="G842" s="8">
        <f t="shared" si="27"/>
        <v>57.690384999999999</v>
      </c>
      <c r="I842" t="str">
        <v>02-Feb</v>
      </c>
      <c r="L842" t="b">
        <v>0</v>
      </c>
      <c r="N842" t="b">
        <v>0</v>
      </c>
    </row>
    <row r="843" spans="1:14" x14ac:dyDescent="0.35">
      <c r="A843">
        <v>126.19</v>
      </c>
      <c r="B843">
        <v>4</v>
      </c>
      <c r="C843">
        <v>0.29930000000000001</v>
      </c>
      <c r="D843">
        <v>17.760000000000002</v>
      </c>
      <c r="F843" s="7">
        <f t="shared" si="26"/>
        <v>353.68533200000002</v>
      </c>
      <c r="G843" s="8">
        <f t="shared" si="27"/>
        <v>168.83466799999999</v>
      </c>
      <c r="I843" t="str">
        <v>03-Mar</v>
      </c>
      <c r="L843" t="b">
        <v>0</v>
      </c>
      <c r="N843" t="b">
        <v>0</v>
      </c>
    </row>
    <row r="844" spans="1:14" x14ac:dyDescent="0.35">
      <c r="A844">
        <v>171.36</v>
      </c>
      <c r="B844">
        <v>3</v>
      </c>
      <c r="C844">
        <v>0.1779</v>
      </c>
      <c r="D844">
        <v>85.7</v>
      </c>
      <c r="F844" s="7">
        <f t="shared" si="26"/>
        <v>422.62516800000009</v>
      </c>
      <c r="G844" s="8">
        <f t="shared" si="27"/>
        <v>177.154832</v>
      </c>
      <c r="I844" t="str">
        <v>10-Oct</v>
      </c>
      <c r="L844" t="b">
        <v>0</v>
      </c>
      <c r="N844" t="b">
        <v>0</v>
      </c>
    </row>
    <row r="845" spans="1:14" x14ac:dyDescent="0.35">
      <c r="A845">
        <v>460.65</v>
      </c>
      <c r="B845">
        <v>4</v>
      </c>
      <c r="C845">
        <v>0.21780000000000002</v>
      </c>
      <c r="D845">
        <v>25.19</v>
      </c>
      <c r="F845" s="7">
        <f t="shared" si="26"/>
        <v>1441.28172</v>
      </c>
      <c r="G845" s="8">
        <f t="shared" si="27"/>
        <v>426.50828000000001</v>
      </c>
      <c r="I845" t="str">
        <v>12-Dec</v>
      </c>
      <c r="L845" t="b">
        <v>0</v>
      </c>
      <c r="N845" t="b">
        <v>0</v>
      </c>
    </row>
    <row r="846" spans="1:14" x14ac:dyDescent="0.35">
      <c r="A846">
        <v>315.08</v>
      </c>
      <c r="B846">
        <v>4</v>
      </c>
      <c r="C846">
        <v>4.3299999999999998E-2</v>
      </c>
      <c r="D846">
        <v>53.2</v>
      </c>
      <c r="F846" s="7">
        <f t="shared" si="26"/>
        <v>1205.7481439999999</v>
      </c>
      <c r="G846" s="8">
        <f t="shared" si="27"/>
        <v>107.771856</v>
      </c>
      <c r="I846" t="str">
        <v>10-Oct</v>
      </c>
      <c r="L846" t="b">
        <v>0</v>
      </c>
      <c r="N846" t="b">
        <v>0</v>
      </c>
    </row>
    <row r="847" spans="1:14" x14ac:dyDescent="0.35">
      <c r="A847">
        <v>147.22999999999999</v>
      </c>
      <c r="B847">
        <v>5</v>
      </c>
      <c r="C847">
        <v>0.27510000000000001</v>
      </c>
      <c r="D847">
        <v>81.88</v>
      </c>
      <c r="F847" s="7">
        <f t="shared" si="26"/>
        <v>533.63513499999999</v>
      </c>
      <c r="G847" s="8">
        <f t="shared" si="27"/>
        <v>284.39486499999998</v>
      </c>
      <c r="I847" t="str">
        <v>04-Apr</v>
      </c>
      <c r="L847" t="b">
        <v>0</v>
      </c>
      <c r="N847" t="b">
        <v>0</v>
      </c>
    </row>
    <row r="848" spans="1:14" x14ac:dyDescent="0.35">
      <c r="A848">
        <v>179.96</v>
      </c>
      <c r="B848">
        <v>4</v>
      </c>
      <c r="C848">
        <v>5.9500000000000004E-2</v>
      </c>
      <c r="D848">
        <v>24.56</v>
      </c>
      <c r="F848" s="7">
        <f t="shared" si="26"/>
        <v>677.00952000000007</v>
      </c>
      <c r="G848" s="8">
        <f t="shared" si="27"/>
        <v>67.390479999999997</v>
      </c>
      <c r="I848" t="str">
        <v>12-Dec</v>
      </c>
      <c r="L848" t="b">
        <v>0</v>
      </c>
      <c r="N848" t="b">
        <v>0</v>
      </c>
    </row>
    <row r="849" spans="1:14" x14ac:dyDescent="0.35">
      <c r="A849">
        <v>105.67</v>
      </c>
      <c r="B849">
        <v>5</v>
      </c>
      <c r="C849">
        <v>0.40350000000000003</v>
      </c>
      <c r="D849">
        <v>79.22</v>
      </c>
      <c r="F849" s="7">
        <f t="shared" si="26"/>
        <v>315.16077500000006</v>
      </c>
      <c r="G849" s="8">
        <f t="shared" si="27"/>
        <v>292.40922499999999</v>
      </c>
      <c r="I849" t="str">
        <v>05-May</v>
      </c>
      <c r="L849" t="b">
        <v>0</v>
      </c>
      <c r="N849" t="b">
        <v>0</v>
      </c>
    </row>
    <row r="850" spans="1:14" x14ac:dyDescent="0.35">
      <c r="A850">
        <v>469.8</v>
      </c>
      <c r="B850">
        <v>4</v>
      </c>
      <c r="C850">
        <v>0.35109999999999997</v>
      </c>
      <c r="D850">
        <v>41.91</v>
      </c>
      <c r="F850" s="7">
        <f t="shared" si="26"/>
        <v>1219.4128800000001</v>
      </c>
      <c r="G850" s="8">
        <f t="shared" si="27"/>
        <v>701.69711999999993</v>
      </c>
      <c r="I850" t="str">
        <v>09-Sep</v>
      </c>
      <c r="L850" t="b">
        <v>0</v>
      </c>
      <c r="N850" t="b">
        <v>0</v>
      </c>
    </row>
    <row r="851" spans="1:14" x14ac:dyDescent="0.35">
      <c r="A851">
        <v>365.67</v>
      </c>
      <c r="B851">
        <v>5</v>
      </c>
      <c r="C851">
        <v>3.6799999999999999E-2</v>
      </c>
      <c r="D851">
        <v>45.66</v>
      </c>
      <c r="F851" s="7">
        <f t="shared" si="26"/>
        <v>1761.0667200000003</v>
      </c>
      <c r="G851" s="8">
        <f t="shared" si="27"/>
        <v>112.94328</v>
      </c>
      <c r="I851" t="str">
        <v>06-Jun</v>
      </c>
      <c r="L851" t="b">
        <v>0</v>
      </c>
      <c r="N851" t="b">
        <v>0</v>
      </c>
    </row>
    <row r="852" spans="1:14" x14ac:dyDescent="0.35">
      <c r="A852">
        <v>446.02</v>
      </c>
      <c r="B852">
        <v>4</v>
      </c>
      <c r="C852">
        <v>0.2102</v>
      </c>
      <c r="D852">
        <v>91.62</v>
      </c>
      <c r="F852" s="7">
        <f t="shared" si="26"/>
        <v>1409.066384</v>
      </c>
      <c r="G852" s="8">
        <f t="shared" si="27"/>
        <v>466.63361599999996</v>
      </c>
      <c r="I852" t="str">
        <v>11-Nov</v>
      </c>
      <c r="L852" t="b">
        <v>0</v>
      </c>
      <c r="N852" t="b">
        <v>0</v>
      </c>
    </row>
    <row r="853" spans="1:14" x14ac:dyDescent="0.35">
      <c r="A853">
        <v>230.44</v>
      </c>
      <c r="B853">
        <v>5</v>
      </c>
      <c r="C853">
        <v>0.46799999999999997</v>
      </c>
      <c r="D853">
        <v>82.69</v>
      </c>
      <c r="F853" s="7">
        <f t="shared" si="26"/>
        <v>612.97040000000004</v>
      </c>
      <c r="G853" s="8">
        <f t="shared" si="27"/>
        <v>621.91959999999995</v>
      </c>
      <c r="I853" t="str">
        <v>08-Aug</v>
      </c>
      <c r="L853" t="b">
        <v>0</v>
      </c>
      <c r="N853" t="b">
        <v>0</v>
      </c>
    </row>
    <row r="854" spans="1:14" x14ac:dyDescent="0.35">
      <c r="A854">
        <v>135.84</v>
      </c>
      <c r="B854">
        <v>5</v>
      </c>
      <c r="C854">
        <v>0.27699999999999997</v>
      </c>
      <c r="D854">
        <v>46.12</v>
      </c>
      <c r="F854" s="7">
        <f t="shared" si="26"/>
        <v>491.06160000000011</v>
      </c>
      <c r="G854" s="8">
        <f t="shared" si="27"/>
        <v>234.25839999999999</v>
      </c>
      <c r="I854" t="str">
        <v>05-May</v>
      </c>
      <c r="L854" t="b">
        <v>0</v>
      </c>
      <c r="N854" t="b">
        <v>0</v>
      </c>
    </row>
    <row r="855" spans="1:14" x14ac:dyDescent="0.35">
      <c r="A855">
        <v>454.13</v>
      </c>
      <c r="B855">
        <v>5</v>
      </c>
      <c r="C855">
        <v>0.16980000000000001</v>
      </c>
      <c r="D855">
        <v>55.43</v>
      </c>
      <c r="F855" s="7">
        <f t="shared" si="26"/>
        <v>1885.0936300000001</v>
      </c>
      <c r="G855" s="8">
        <f t="shared" si="27"/>
        <v>440.98637000000002</v>
      </c>
      <c r="I855" t="str">
        <v>09-Sep</v>
      </c>
      <c r="L855" t="b">
        <v>0</v>
      </c>
      <c r="N855" t="b">
        <v>0</v>
      </c>
    </row>
    <row r="856" spans="1:14" x14ac:dyDescent="0.35">
      <c r="A856">
        <v>465.58</v>
      </c>
      <c r="B856">
        <v>5</v>
      </c>
      <c r="C856">
        <v>0.1401</v>
      </c>
      <c r="D856">
        <v>64.08</v>
      </c>
      <c r="F856" s="7">
        <f t="shared" si="26"/>
        <v>2001.7612100000001</v>
      </c>
      <c r="G856" s="8">
        <f t="shared" si="27"/>
        <v>390.21879000000001</v>
      </c>
      <c r="I856" t="str">
        <v>12-Dec</v>
      </c>
      <c r="L856" t="b">
        <v>0</v>
      </c>
      <c r="N856" t="b">
        <v>0</v>
      </c>
    </row>
    <row r="857" spans="1:14" x14ac:dyDescent="0.35">
      <c r="A857">
        <v>271.73</v>
      </c>
      <c r="B857">
        <v>5</v>
      </c>
      <c r="C857">
        <v>6.6299999999999998E-2</v>
      </c>
      <c r="D857">
        <v>30.66</v>
      </c>
      <c r="F857" s="7">
        <f t="shared" si="26"/>
        <v>1268.5715050000001</v>
      </c>
      <c r="G857" s="8">
        <f t="shared" si="27"/>
        <v>120.738495</v>
      </c>
      <c r="I857" t="str">
        <v>08-Aug</v>
      </c>
      <c r="L857" t="b">
        <v>0</v>
      </c>
      <c r="N857" t="b">
        <v>0</v>
      </c>
    </row>
    <row r="858" spans="1:14" x14ac:dyDescent="0.35">
      <c r="A858">
        <v>424.8</v>
      </c>
      <c r="B858">
        <v>3</v>
      </c>
      <c r="C858">
        <v>0.28559999999999997</v>
      </c>
      <c r="D858">
        <v>18.29</v>
      </c>
      <c r="F858" s="7">
        <f t="shared" si="26"/>
        <v>910.43136000000015</v>
      </c>
      <c r="G858" s="8">
        <f t="shared" si="27"/>
        <v>382.25864000000001</v>
      </c>
      <c r="I858" t="str">
        <v>01-Jan</v>
      </c>
      <c r="L858" t="b">
        <v>1</v>
      </c>
      <c r="N858" t="b">
        <v>0</v>
      </c>
    </row>
    <row r="859" spans="1:14" x14ac:dyDescent="0.35">
      <c r="A859">
        <v>220.71</v>
      </c>
      <c r="B859">
        <v>5</v>
      </c>
      <c r="C859">
        <v>0.35420000000000001</v>
      </c>
      <c r="D859">
        <v>18.760000000000002</v>
      </c>
      <c r="F859" s="7">
        <f t="shared" si="26"/>
        <v>712.6725899999999</v>
      </c>
      <c r="G859" s="8">
        <f t="shared" si="27"/>
        <v>409.63740999999999</v>
      </c>
      <c r="I859" t="str">
        <v>02-Feb</v>
      </c>
      <c r="L859" t="b">
        <v>0</v>
      </c>
      <c r="N859" t="b">
        <v>0</v>
      </c>
    </row>
    <row r="860" spans="1:14" x14ac:dyDescent="0.35">
      <c r="A860">
        <v>455.76</v>
      </c>
      <c r="B860">
        <v>4</v>
      </c>
      <c r="C860">
        <v>0.38880000000000003</v>
      </c>
      <c r="D860">
        <v>70.89</v>
      </c>
      <c r="F860" s="7">
        <f t="shared" si="26"/>
        <v>1114.2420479999998</v>
      </c>
      <c r="G860" s="8">
        <f t="shared" si="27"/>
        <v>779.687952</v>
      </c>
      <c r="I860" t="str">
        <v>03-Mar</v>
      </c>
      <c r="L860" t="b">
        <v>0</v>
      </c>
      <c r="N860" t="b">
        <v>0</v>
      </c>
    </row>
    <row r="861" spans="1:14" x14ac:dyDescent="0.35">
      <c r="A861">
        <v>426.78</v>
      </c>
      <c r="B861">
        <v>4</v>
      </c>
      <c r="C861">
        <v>0.38579999999999998</v>
      </c>
      <c r="D861">
        <v>58.75</v>
      </c>
      <c r="F861" s="7">
        <f t="shared" si="26"/>
        <v>1048.5131040000001</v>
      </c>
      <c r="G861" s="8">
        <f t="shared" si="27"/>
        <v>717.35689599999989</v>
      </c>
      <c r="I861" t="str">
        <v>02-Feb</v>
      </c>
      <c r="L861" t="b">
        <v>0</v>
      </c>
      <c r="N861" t="b">
        <v>0</v>
      </c>
    </row>
    <row r="862" spans="1:14" x14ac:dyDescent="0.35">
      <c r="A862">
        <v>370.97</v>
      </c>
      <c r="B862">
        <v>5</v>
      </c>
      <c r="C862">
        <v>0.39979999999999999</v>
      </c>
      <c r="D862">
        <v>70.959999999999994</v>
      </c>
      <c r="F862" s="7">
        <f t="shared" si="26"/>
        <v>1113.2809700000003</v>
      </c>
      <c r="G862" s="8">
        <f t="shared" si="27"/>
        <v>812.52903000000003</v>
      </c>
      <c r="I862" t="str">
        <v>11-Nov</v>
      </c>
      <c r="L862" t="b">
        <v>0</v>
      </c>
      <c r="N862" t="b">
        <v>0</v>
      </c>
    </row>
    <row r="863" spans="1:14" x14ac:dyDescent="0.35">
      <c r="A863">
        <v>238.95</v>
      </c>
      <c r="B863">
        <v>3</v>
      </c>
      <c r="C863">
        <v>8.9800000000000005E-2</v>
      </c>
      <c r="D863">
        <v>12.79</v>
      </c>
      <c r="F863" s="7">
        <f t="shared" si="26"/>
        <v>652.47686999999996</v>
      </c>
      <c r="G863" s="8">
        <f t="shared" si="27"/>
        <v>77.163129999999995</v>
      </c>
      <c r="I863" t="str">
        <v>10-Oct</v>
      </c>
      <c r="L863" t="b">
        <v>0</v>
      </c>
      <c r="N863" t="b">
        <v>0</v>
      </c>
    </row>
    <row r="864" spans="1:14" x14ac:dyDescent="0.35">
      <c r="A864">
        <v>203.2</v>
      </c>
      <c r="B864">
        <v>4</v>
      </c>
      <c r="C864">
        <v>0.3513</v>
      </c>
      <c r="D864">
        <v>43.1</v>
      </c>
      <c r="F864" s="7">
        <f t="shared" si="26"/>
        <v>527.26336000000003</v>
      </c>
      <c r="G864" s="8">
        <f t="shared" si="27"/>
        <v>328.63664</v>
      </c>
      <c r="I864" t="str">
        <v>05-May</v>
      </c>
      <c r="L864" t="b">
        <v>0</v>
      </c>
      <c r="N864" t="b">
        <v>0</v>
      </c>
    </row>
    <row r="865" spans="1:14" x14ac:dyDescent="0.35">
      <c r="A865">
        <v>261.73</v>
      </c>
      <c r="B865">
        <v>3</v>
      </c>
      <c r="C865">
        <v>3.9800000000000002E-2</v>
      </c>
      <c r="D865">
        <v>61.72</v>
      </c>
      <c r="F865" s="7">
        <f t="shared" si="26"/>
        <v>753.939438</v>
      </c>
      <c r="G865" s="8">
        <f t="shared" si="27"/>
        <v>92.970562000000001</v>
      </c>
      <c r="I865" t="str">
        <v>04-Apr</v>
      </c>
      <c r="L865" t="b">
        <v>0</v>
      </c>
      <c r="N865" t="b">
        <v>0</v>
      </c>
    </row>
    <row r="866" spans="1:14" x14ac:dyDescent="0.35">
      <c r="A866">
        <v>442.77</v>
      </c>
      <c r="B866">
        <v>3</v>
      </c>
      <c r="C866">
        <v>0.29249999999999998</v>
      </c>
      <c r="D866">
        <v>29.15</v>
      </c>
      <c r="F866" s="7">
        <f t="shared" si="26"/>
        <v>939.77932499999997</v>
      </c>
      <c r="G866" s="8">
        <f t="shared" si="27"/>
        <v>417.68067499999995</v>
      </c>
      <c r="I866" t="str">
        <v>04-Apr</v>
      </c>
      <c r="L866" t="b">
        <v>0</v>
      </c>
      <c r="N866" t="b">
        <v>0</v>
      </c>
    </row>
    <row r="867" spans="1:14" x14ac:dyDescent="0.35">
      <c r="A867">
        <v>404.97</v>
      </c>
      <c r="B867">
        <v>3</v>
      </c>
      <c r="C867">
        <v>0.31759999999999999</v>
      </c>
      <c r="D867">
        <v>41.7</v>
      </c>
      <c r="F867" s="7">
        <f t="shared" si="26"/>
        <v>829.05458400000009</v>
      </c>
      <c r="G867" s="8">
        <f t="shared" si="27"/>
        <v>427.55541599999998</v>
      </c>
      <c r="I867" t="str">
        <v>11-Nov</v>
      </c>
      <c r="L867" t="b">
        <v>0</v>
      </c>
      <c r="N867" t="b">
        <v>0</v>
      </c>
    </row>
    <row r="868" spans="1:14" x14ac:dyDescent="0.35">
      <c r="A868">
        <v>223.3</v>
      </c>
      <c r="B868">
        <v>4</v>
      </c>
      <c r="C868">
        <v>4.2599999999999999E-2</v>
      </c>
      <c r="D868">
        <v>57.9</v>
      </c>
      <c r="F868" s="7">
        <f t="shared" si="26"/>
        <v>855.1496800000001</v>
      </c>
      <c r="G868" s="8">
        <f t="shared" si="27"/>
        <v>95.950320000000005</v>
      </c>
      <c r="I868" t="str">
        <v>01-Jan</v>
      </c>
      <c r="L868" t="b">
        <v>1</v>
      </c>
      <c r="N868" t="b">
        <v>0</v>
      </c>
    </row>
    <row r="869" spans="1:14" x14ac:dyDescent="0.35">
      <c r="A869">
        <v>260.48</v>
      </c>
      <c r="B869">
        <v>3</v>
      </c>
      <c r="C869">
        <v>0.49229999999999996</v>
      </c>
      <c r="D869">
        <v>18.510000000000002</v>
      </c>
      <c r="F869" s="7">
        <f t="shared" si="26"/>
        <v>396.73708800000009</v>
      </c>
      <c r="G869" s="8">
        <f t="shared" si="27"/>
        <v>403.21291199999996</v>
      </c>
      <c r="I869" t="str">
        <v>07-Jul</v>
      </c>
      <c r="L869" t="b">
        <v>0</v>
      </c>
      <c r="N869" t="b">
        <v>0</v>
      </c>
    </row>
    <row r="870" spans="1:14" x14ac:dyDescent="0.35">
      <c r="A870">
        <v>413.73</v>
      </c>
      <c r="B870">
        <v>4</v>
      </c>
      <c r="C870">
        <v>0.2747</v>
      </c>
      <c r="D870">
        <v>25.85</v>
      </c>
      <c r="F870" s="7">
        <f t="shared" si="26"/>
        <v>1200.313476</v>
      </c>
      <c r="G870" s="8">
        <f t="shared" si="27"/>
        <v>480.45652400000006</v>
      </c>
      <c r="I870" t="str">
        <v>08-Aug</v>
      </c>
      <c r="L870" t="b">
        <v>0</v>
      </c>
      <c r="N870" t="b">
        <v>0</v>
      </c>
    </row>
    <row r="871" spans="1:14" x14ac:dyDescent="0.35">
      <c r="A871">
        <v>396.48</v>
      </c>
      <c r="B871">
        <v>5</v>
      </c>
      <c r="C871">
        <v>2.1000000000000001E-2</v>
      </c>
      <c r="D871">
        <v>17.12</v>
      </c>
      <c r="F871" s="7">
        <f t="shared" si="26"/>
        <v>1940.7696000000001</v>
      </c>
      <c r="G871" s="8">
        <f t="shared" si="27"/>
        <v>58.750399999999999</v>
      </c>
      <c r="I871" t="str">
        <v>11-Nov</v>
      </c>
      <c r="L871" t="b">
        <v>0</v>
      </c>
      <c r="N871" t="b">
        <v>0</v>
      </c>
    </row>
    <row r="872" spans="1:14" x14ac:dyDescent="0.35">
      <c r="A872">
        <v>177.67</v>
      </c>
      <c r="B872">
        <v>5</v>
      </c>
      <c r="C872">
        <v>9.3999999999999986E-3</v>
      </c>
      <c r="D872">
        <v>99.2</v>
      </c>
      <c r="F872" s="7">
        <f t="shared" si="26"/>
        <v>879.99950999999999</v>
      </c>
      <c r="G872" s="8">
        <f t="shared" si="27"/>
        <v>107.55049</v>
      </c>
      <c r="I872" t="str">
        <v>04-Apr</v>
      </c>
      <c r="L872" t="b">
        <v>0</v>
      </c>
      <c r="N872" t="b">
        <v>0</v>
      </c>
    </row>
    <row r="873" spans="1:14" x14ac:dyDescent="0.35">
      <c r="A873">
        <v>223.14</v>
      </c>
      <c r="B873">
        <v>3</v>
      </c>
      <c r="C873">
        <v>8.48E-2</v>
      </c>
      <c r="D873">
        <v>95.41</v>
      </c>
      <c r="F873" s="7">
        <f t="shared" si="26"/>
        <v>612.65318400000001</v>
      </c>
      <c r="G873" s="8">
        <f t="shared" si="27"/>
        <v>152.176816</v>
      </c>
      <c r="I873" t="str">
        <v>09-Sep</v>
      </c>
      <c r="L873" t="b">
        <v>0</v>
      </c>
      <c r="N873" t="b">
        <v>0</v>
      </c>
    </row>
    <row r="874" spans="1:14" x14ac:dyDescent="0.35">
      <c r="A874">
        <v>306.64999999999998</v>
      </c>
      <c r="B874">
        <v>3</v>
      </c>
      <c r="C874">
        <v>6.25E-2</v>
      </c>
      <c r="D874">
        <v>75.42</v>
      </c>
      <c r="F874" s="7">
        <f t="shared" si="26"/>
        <v>862.45312499999989</v>
      </c>
      <c r="G874" s="8">
        <f t="shared" si="27"/>
        <v>132.916875</v>
      </c>
      <c r="I874" t="str">
        <v>05-May</v>
      </c>
      <c r="L874" t="b">
        <v>0</v>
      </c>
      <c r="N874" t="b">
        <v>0</v>
      </c>
    </row>
    <row r="875" spans="1:14" x14ac:dyDescent="0.35">
      <c r="A875">
        <v>86.56</v>
      </c>
      <c r="B875">
        <v>3</v>
      </c>
      <c r="C875">
        <v>4.3099999999999999E-2</v>
      </c>
      <c r="D875">
        <v>18.05</v>
      </c>
      <c r="F875" s="7">
        <f t="shared" si="26"/>
        <v>248.48779200000001</v>
      </c>
      <c r="G875" s="8">
        <f t="shared" si="27"/>
        <v>29.242208000000002</v>
      </c>
      <c r="I875" t="str">
        <v>05-May</v>
      </c>
      <c r="L875" t="b">
        <v>0</v>
      </c>
      <c r="N875" t="b">
        <v>0</v>
      </c>
    </row>
    <row r="876" spans="1:14" x14ac:dyDescent="0.35">
      <c r="A876">
        <v>484.16</v>
      </c>
      <c r="B876">
        <v>4</v>
      </c>
      <c r="C876">
        <v>0.31809999999999999</v>
      </c>
      <c r="D876">
        <v>98.62</v>
      </c>
      <c r="F876" s="7">
        <f t="shared" si="26"/>
        <v>1320.594816</v>
      </c>
      <c r="G876" s="8">
        <f t="shared" si="27"/>
        <v>714.66518400000007</v>
      </c>
      <c r="I876" t="str">
        <v>02-Feb</v>
      </c>
      <c r="L876" t="b">
        <v>0</v>
      </c>
      <c r="N876" t="b">
        <v>0</v>
      </c>
    </row>
    <row r="877" spans="1:14" x14ac:dyDescent="0.35">
      <c r="A877">
        <v>494.48</v>
      </c>
      <c r="B877">
        <v>4</v>
      </c>
      <c r="C877">
        <v>0.1162</v>
      </c>
      <c r="D877">
        <v>99.37</v>
      </c>
      <c r="F877" s="7">
        <f t="shared" si="26"/>
        <v>1748.0856960000001</v>
      </c>
      <c r="G877" s="8">
        <f t="shared" si="27"/>
        <v>329.20430399999998</v>
      </c>
      <c r="I877" t="str">
        <v>09-Sep</v>
      </c>
      <c r="L877" t="b">
        <v>0</v>
      </c>
      <c r="N877" t="b">
        <v>0</v>
      </c>
    </row>
    <row r="878" spans="1:14" x14ac:dyDescent="0.35">
      <c r="A878">
        <v>351.98</v>
      </c>
      <c r="B878">
        <v>5</v>
      </c>
      <c r="C878">
        <v>0.22440000000000002</v>
      </c>
      <c r="D878">
        <v>19.07</v>
      </c>
      <c r="F878" s="7">
        <f t="shared" si="26"/>
        <v>1364.9784400000001</v>
      </c>
      <c r="G878" s="8">
        <f t="shared" si="27"/>
        <v>413.99156000000005</v>
      </c>
      <c r="I878" t="str">
        <v>08-Aug</v>
      </c>
      <c r="L878" t="b">
        <v>0</v>
      </c>
      <c r="N878" t="b">
        <v>0</v>
      </c>
    </row>
    <row r="879" spans="1:14" x14ac:dyDescent="0.35">
      <c r="A879">
        <v>113.78</v>
      </c>
      <c r="B879">
        <v>3</v>
      </c>
      <c r="C879">
        <v>0.4854</v>
      </c>
      <c r="D879">
        <v>34.630000000000003</v>
      </c>
      <c r="F879" s="7">
        <f t="shared" si="26"/>
        <v>175.65356399999999</v>
      </c>
      <c r="G879" s="8">
        <f t="shared" si="27"/>
        <v>200.31643600000001</v>
      </c>
      <c r="I879" t="str">
        <v>02-Feb</v>
      </c>
      <c r="L879" t="b">
        <v>0</v>
      </c>
      <c r="N879" t="b">
        <v>0</v>
      </c>
    </row>
    <row r="880" spans="1:14" x14ac:dyDescent="0.35">
      <c r="A880">
        <v>497.87</v>
      </c>
      <c r="B880">
        <v>5</v>
      </c>
      <c r="C880">
        <v>0.48139999999999999</v>
      </c>
      <c r="D880">
        <v>63.85</v>
      </c>
      <c r="F880" s="7">
        <f t="shared" si="26"/>
        <v>1290.9769099999999</v>
      </c>
      <c r="G880" s="8">
        <f t="shared" si="27"/>
        <v>1262.22309</v>
      </c>
      <c r="I880" t="str">
        <v>03-Mar</v>
      </c>
      <c r="L880" t="b">
        <v>0</v>
      </c>
      <c r="N880" t="b">
        <v>0</v>
      </c>
    </row>
    <row r="881" spans="1:14" x14ac:dyDescent="0.35">
      <c r="A881">
        <v>446.24</v>
      </c>
      <c r="B881">
        <v>4</v>
      </c>
      <c r="C881">
        <v>0.23519999999999999</v>
      </c>
      <c r="D881">
        <v>72.680000000000007</v>
      </c>
      <c r="F881" s="7">
        <f t="shared" si="26"/>
        <v>1365.1374080000001</v>
      </c>
      <c r="G881" s="8">
        <f t="shared" si="27"/>
        <v>492.50259199999999</v>
      </c>
      <c r="I881" t="str">
        <v>02-Feb</v>
      </c>
      <c r="L881" t="b">
        <v>0</v>
      </c>
      <c r="N881" t="b">
        <v>0</v>
      </c>
    </row>
    <row r="882" spans="1:14" x14ac:dyDescent="0.35">
      <c r="A882">
        <v>460.46</v>
      </c>
      <c r="B882">
        <v>4</v>
      </c>
      <c r="C882">
        <v>0.31140000000000001</v>
      </c>
      <c r="D882">
        <v>40.28</v>
      </c>
      <c r="F882" s="7">
        <f t="shared" si="26"/>
        <v>1268.2910239999999</v>
      </c>
      <c r="G882" s="8">
        <f t="shared" si="27"/>
        <v>613.82897600000001</v>
      </c>
      <c r="I882" t="str">
        <v>09-Sep</v>
      </c>
      <c r="L882" t="b">
        <v>0</v>
      </c>
      <c r="N882" t="b">
        <v>0</v>
      </c>
    </row>
    <row r="883" spans="1:14" x14ac:dyDescent="0.35">
      <c r="A883">
        <v>279.95999999999998</v>
      </c>
      <c r="B883">
        <v>3</v>
      </c>
      <c r="C883">
        <v>2.1600000000000001E-2</v>
      </c>
      <c r="D883">
        <v>34.72</v>
      </c>
      <c r="F883" s="7">
        <f t="shared" si="26"/>
        <v>821.73859199999993</v>
      </c>
      <c r="G883" s="8">
        <f t="shared" si="27"/>
        <v>52.861407999999997</v>
      </c>
      <c r="I883" t="str">
        <v>10-Oct</v>
      </c>
      <c r="L883" t="b">
        <v>0</v>
      </c>
      <c r="N883" t="b">
        <v>0</v>
      </c>
    </row>
    <row r="884" spans="1:14" x14ac:dyDescent="0.35">
      <c r="A884">
        <v>213.38</v>
      </c>
      <c r="B884">
        <v>5</v>
      </c>
      <c r="C884">
        <v>0.29520000000000002</v>
      </c>
      <c r="D884">
        <v>42.31</v>
      </c>
      <c r="F884" s="7">
        <f t="shared" si="26"/>
        <v>751.95112000000006</v>
      </c>
      <c r="G884" s="8">
        <f t="shared" si="27"/>
        <v>357.25888000000003</v>
      </c>
      <c r="I884" t="str">
        <v>04-Apr</v>
      </c>
      <c r="L884" t="b">
        <v>0</v>
      </c>
      <c r="N884" t="b">
        <v>0</v>
      </c>
    </row>
    <row r="885" spans="1:14" x14ac:dyDescent="0.35">
      <c r="A885">
        <v>356.18</v>
      </c>
      <c r="B885">
        <v>3</v>
      </c>
      <c r="C885">
        <v>0.49770000000000003</v>
      </c>
      <c r="D885">
        <v>45.63</v>
      </c>
      <c r="F885" s="7">
        <f t="shared" si="26"/>
        <v>536.72764199999995</v>
      </c>
      <c r="G885" s="8">
        <f t="shared" si="27"/>
        <v>577.44235800000001</v>
      </c>
      <c r="I885" t="str">
        <v>06-Jun</v>
      </c>
      <c r="L885" t="b">
        <v>0</v>
      </c>
      <c r="N885" t="b">
        <v>0</v>
      </c>
    </row>
    <row r="886" spans="1:14" x14ac:dyDescent="0.35">
      <c r="A886">
        <v>415.18</v>
      </c>
      <c r="B886">
        <v>4</v>
      </c>
      <c r="C886">
        <v>6.2300000000000001E-2</v>
      </c>
      <c r="D886">
        <v>38.409999999999997</v>
      </c>
      <c r="F886" s="7">
        <f t="shared" si="26"/>
        <v>1557.2571439999999</v>
      </c>
      <c r="G886" s="8">
        <f t="shared" si="27"/>
        <v>141.87285600000001</v>
      </c>
      <c r="I886" t="str">
        <v>07-Jul</v>
      </c>
      <c r="L886" t="b">
        <v>0</v>
      </c>
      <c r="N886" t="b">
        <v>0</v>
      </c>
    </row>
    <row r="887" spans="1:14" x14ac:dyDescent="0.35">
      <c r="A887">
        <v>415.79</v>
      </c>
      <c r="B887">
        <v>4</v>
      </c>
      <c r="C887">
        <v>6.1699999999999998E-2</v>
      </c>
      <c r="D887">
        <v>65.569999999999993</v>
      </c>
      <c r="F887" s="7">
        <f t="shared" si="26"/>
        <v>1560.543028</v>
      </c>
      <c r="G887" s="8">
        <f t="shared" si="27"/>
        <v>168.186972</v>
      </c>
      <c r="I887" t="str">
        <v>01-Jan</v>
      </c>
      <c r="L887" t="b">
        <v>1</v>
      </c>
      <c r="N887" t="b">
        <v>0</v>
      </c>
    </row>
    <row r="888" spans="1:14" x14ac:dyDescent="0.35">
      <c r="A888">
        <v>189.63</v>
      </c>
      <c r="B888">
        <v>4</v>
      </c>
      <c r="C888">
        <v>0.33110000000000001</v>
      </c>
      <c r="D888">
        <v>91.59</v>
      </c>
      <c r="F888" s="7">
        <f t="shared" si="26"/>
        <v>507.37402800000001</v>
      </c>
      <c r="G888" s="8">
        <f t="shared" si="27"/>
        <v>342.735972</v>
      </c>
      <c r="I888" t="str">
        <v>08-Aug</v>
      </c>
      <c r="L888" t="b">
        <v>0</v>
      </c>
      <c r="N888" t="b">
        <v>0</v>
      </c>
    </row>
    <row r="889" spans="1:14" x14ac:dyDescent="0.35">
      <c r="A889">
        <v>440.3</v>
      </c>
      <c r="B889">
        <v>4</v>
      </c>
      <c r="C889">
        <v>3.0999999999999999E-3</v>
      </c>
      <c r="D889">
        <v>71.66</v>
      </c>
      <c r="F889" s="7">
        <f t="shared" si="26"/>
        <v>1755.74028</v>
      </c>
      <c r="G889" s="8">
        <f t="shared" si="27"/>
        <v>77.119720000000001</v>
      </c>
      <c r="I889" t="str">
        <v>06-Jun</v>
      </c>
      <c r="L889" t="b">
        <v>0</v>
      </c>
      <c r="N889" t="b">
        <v>0</v>
      </c>
    </row>
    <row r="890" spans="1:14" x14ac:dyDescent="0.35">
      <c r="A890">
        <v>170.69</v>
      </c>
      <c r="B890">
        <v>4</v>
      </c>
      <c r="C890">
        <v>0.4743</v>
      </c>
      <c r="D890">
        <v>77.89</v>
      </c>
      <c r="F890" s="7">
        <f t="shared" si="26"/>
        <v>358.92693200000002</v>
      </c>
      <c r="G890" s="8">
        <f t="shared" si="27"/>
        <v>401.72306799999996</v>
      </c>
      <c r="I890" t="str">
        <v>11-Nov</v>
      </c>
      <c r="L890" t="b">
        <v>0</v>
      </c>
      <c r="N890" t="b">
        <v>0</v>
      </c>
    </row>
    <row r="891" spans="1:14" x14ac:dyDescent="0.35">
      <c r="A891">
        <v>496.68</v>
      </c>
      <c r="B891">
        <v>5</v>
      </c>
      <c r="C891">
        <v>0.45689999999999997</v>
      </c>
      <c r="D891">
        <v>48.01</v>
      </c>
      <c r="F891" s="7">
        <f t="shared" si="26"/>
        <v>1348.7345400000002</v>
      </c>
      <c r="G891" s="8">
        <f t="shared" si="27"/>
        <v>1182.6754599999999</v>
      </c>
      <c r="I891" t="str">
        <v>06-Jun</v>
      </c>
      <c r="L891" t="b">
        <v>0</v>
      </c>
      <c r="N891" t="b">
        <v>0</v>
      </c>
    </row>
    <row r="892" spans="1:14" x14ac:dyDescent="0.35">
      <c r="A892">
        <v>327.44</v>
      </c>
      <c r="B892">
        <v>5</v>
      </c>
      <c r="C892">
        <v>0.13200000000000001</v>
      </c>
      <c r="D892">
        <v>43.04</v>
      </c>
      <c r="F892" s="7">
        <f t="shared" si="26"/>
        <v>1421.0896</v>
      </c>
      <c r="G892" s="8">
        <f t="shared" si="27"/>
        <v>259.15040000000005</v>
      </c>
      <c r="I892" t="str">
        <v>09-Sep</v>
      </c>
      <c r="L892" t="b">
        <v>0</v>
      </c>
      <c r="N892" t="b">
        <v>0</v>
      </c>
    </row>
    <row r="893" spans="1:14" x14ac:dyDescent="0.35">
      <c r="A893">
        <v>167.12</v>
      </c>
      <c r="B893">
        <v>4</v>
      </c>
      <c r="C893">
        <v>0.14019999999999999</v>
      </c>
      <c r="D893">
        <v>82.98</v>
      </c>
      <c r="F893" s="7">
        <f t="shared" si="26"/>
        <v>574.75910399999998</v>
      </c>
      <c r="G893" s="8">
        <f t="shared" si="27"/>
        <v>176.700896</v>
      </c>
      <c r="I893" t="str">
        <v>04-Apr</v>
      </c>
      <c r="L893" t="b">
        <v>0</v>
      </c>
      <c r="N893" t="b">
        <v>0</v>
      </c>
    </row>
    <row r="894" spans="1:14" x14ac:dyDescent="0.35">
      <c r="A894">
        <v>410.28</v>
      </c>
      <c r="B894">
        <v>5</v>
      </c>
      <c r="C894">
        <v>0.24729999999999999</v>
      </c>
      <c r="D894">
        <v>19.45</v>
      </c>
      <c r="F894" s="7">
        <f t="shared" si="26"/>
        <v>1544.0887799999998</v>
      </c>
      <c r="G894" s="8">
        <f t="shared" si="27"/>
        <v>526.76121999999987</v>
      </c>
      <c r="I894" t="str">
        <v>01-Jan</v>
      </c>
      <c r="L894" t="b">
        <v>1</v>
      </c>
      <c r="N894" t="b">
        <v>0</v>
      </c>
    </row>
    <row r="895" spans="1:14" x14ac:dyDescent="0.35">
      <c r="A895">
        <v>245.85</v>
      </c>
      <c r="B895">
        <v>5</v>
      </c>
      <c r="C895">
        <v>0.49490000000000001</v>
      </c>
      <c r="D895">
        <v>80.31</v>
      </c>
      <c r="F895" s="7">
        <f t="shared" si="26"/>
        <v>620.89417500000002</v>
      </c>
      <c r="G895" s="8">
        <f t="shared" si="27"/>
        <v>688.66582500000004</v>
      </c>
      <c r="I895" t="str">
        <v>12-Dec</v>
      </c>
      <c r="L895" t="b">
        <v>0</v>
      </c>
      <c r="N895" t="b">
        <v>0</v>
      </c>
    </row>
    <row r="896" spans="1:14" x14ac:dyDescent="0.35">
      <c r="A896">
        <v>338.01</v>
      </c>
      <c r="B896">
        <v>4</v>
      </c>
      <c r="C896">
        <v>8.6500000000000007E-2</v>
      </c>
      <c r="D896">
        <v>88.46</v>
      </c>
      <c r="F896" s="7">
        <f t="shared" si="26"/>
        <v>1235.08854</v>
      </c>
      <c r="G896" s="8">
        <f t="shared" si="27"/>
        <v>205.41146000000001</v>
      </c>
      <c r="I896" t="str">
        <v>09-Sep</v>
      </c>
      <c r="L896" t="b">
        <v>0</v>
      </c>
      <c r="N896" t="b">
        <v>0</v>
      </c>
    </row>
    <row r="897" spans="1:14" x14ac:dyDescent="0.35">
      <c r="A897">
        <v>351.55</v>
      </c>
      <c r="B897">
        <v>4</v>
      </c>
      <c r="C897">
        <v>0.29289999999999999</v>
      </c>
      <c r="D897">
        <v>23.88</v>
      </c>
      <c r="F897" s="7">
        <f t="shared" si="26"/>
        <v>994.32402000000013</v>
      </c>
      <c r="G897" s="8">
        <f t="shared" si="27"/>
        <v>435.75598000000002</v>
      </c>
      <c r="I897" t="str">
        <v>08-Aug</v>
      </c>
      <c r="L897" t="b">
        <v>0</v>
      </c>
      <c r="N897" t="b">
        <v>0</v>
      </c>
    </row>
    <row r="898" spans="1:14" x14ac:dyDescent="0.35">
      <c r="A898">
        <v>164.12</v>
      </c>
      <c r="B898">
        <v>3</v>
      </c>
      <c r="C898">
        <v>0.30079999999999996</v>
      </c>
      <c r="D898">
        <v>91.19</v>
      </c>
      <c r="F898" s="7">
        <f t="shared" si="26"/>
        <v>344.25811200000004</v>
      </c>
      <c r="G898" s="8">
        <f t="shared" si="27"/>
        <v>239.29188799999997</v>
      </c>
      <c r="I898" t="str">
        <v>03-Mar</v>
      </c>
      <c r="L898" t="b">
        <v>0</v>
      </c>
      <c r="N898" t="b">
        <v>0</v>
      </c>
    </row>
    <row r="899" spans="1:14" x14ac:dyDescent="0.35">
      <c r="A899">
        <v>181.46</v>
      </c>
      <c r="B899">
        <v>4</v>
      </c>
      <c r="C899">
        <v>7.22E-2</v>
      </c>
      <c r="D899">
        <v>43.81</v>
      </c>
      <c r="F899" s="7">
        <f t="shared" ref="F899:F962" si="28">($A899*$B899)*(1-$C899)</f>
        <v>673.43435199999999</v>
      </c>
      <c r="G899" s="8">
        <f t="shared" ref="G899:G962" si="29">D899+(A899*B899*C899)</f>
        <v>96.215648000000002</v>
      </c>
      <c r="I899" t="str">
        <v>04-Apr</v>
      </c>
      <c r="L899" t="b">
        <v>0</v>
      </c>
      <c r="N899" t="b">
        <v>0</v>
      </c>
    </row>
    <row r="900" spans="1:14" x14ac:dyDescent="0.35">
      <c r="A900">
        <v>281.83999999999997</v>
      </c>
      <c r="B900">
        <v>5</v>
      </c>
      <c r="C900">
        <v>8.2299999999999998E-2</v>
      </c>
      <c r="D900">
        <v>10.37</v>
      </c>
      <c r="F900" s="7">
        <f t="shared" si="28"/>
        <v>1293.2228399999997</v>
      </c>
      <c r="G900" s="8">
        <f t="shared" si="29"/>
        <v>126.34715999999999</v>
      </c>
      <c r="I900" t="str">
        <v>06-Jun</v>
      </c>
      <c r="L900" t="b">
        <v>0</v>
      </c>
      <c r="N900" t="b">
        <v>0</v>
      </c>
    </row>
    <row r="901" spans="1:14" x14ac:dyDescent="0.35">
      <c r="A901">
        <v>135.31</v>
      </c>
      <c r="B901">
        <v>4</v>
      </c>
      <c r="C901">
        <v>0.16219999999999998</v>
      </c>
      <c r="D901">
        <v>43.14</v>
      </c>
      <c r="F901" s="7">
        <f t="shared" si="28"/>
        <v>453.450872</v>
      </c>
      <c r="G901" s="8">
        <f t="shared" si="29"/>
        <v>130.92912799999999</v>
      </c>
      <c r="I901" t="str">
        <v>12-Dec</v>
      </c>
      <c r="L901" t="b">
        <v>0</v>
      </c>
      <c r="N901" t="b">
        <v>0</v>
      </c>
    </row>
    <row r="902" spans="1:14" x14ac:dyDescent="0.35">
      <c r="A902">
        <v>274.66000000000003</v>
      </c>
      <c r="B902">
        <v>3</v>
      </c>
      <c r="C902">
        <v>4.8600000000000004E-2</v>
      </c>
      <c r="D902">
        <v>67.73</v>
      </c>
      <c r="F902" s="7">
        <f t="shared" si="28"/>
        <v>783.934572</v>
      </c>
      <c r="G902" s="8">
        <f t="shared" si="29"/>
        <v>107.77542800000001</v>
      </c>
      <c r="I902" t="str">
        <v>08-Aug</v>
      </c>
      <c r="L902" t="b">
        <v>0</v>
      </c>
      <c r="N902" t="b">
        <v>0</v>
      </c>
    </row>
    <row r="903" spans="1:14" x14ac:dyDescent="0.35">
      <c r="A903">
        <v>193.82</v>
      </c>
      <c r="B903">
        <v>4</v>
      </c>
      <c r="C903">
        <v>0.39520000000000005</v>
      </c>
      <c r="D903">
        <v>63.07</v>
      </c>
      <c r="F903" s="7">
        <f t="shared" si="28"/>
        <v>468.88934399999999</v>
      </c>
      <c r="G903" s="8">
        <f t="shared" si="29"/>
        <v>369.46065600000003</v>
      </c>
      <c r="I903" t="str">
        <v>01-Jan</v>
      </c>
      <c r="L903" t="b">
        <v>1</v>
      </c>
      <c r="N903" t="b">
        <v>0</v>
      </c>
    </row>
    <row r="904" spans="1:14" x14ac:dyDescent="0.35">
      <c r="A904">
        <v>77.599999999999994</v>
      </c>
      <c r="B904">
        <v>4</v>
      </c>
      <c r="C904">
        <v>0.44729999999999998</v>
      </c>
      <c r="D904">
        <v>17.32</v>
      </c>
      <c r="F904" s="7">
        <f t="shared" si="28"/>
        <v>171.55807999999999</v>
      </c>
      <c r="G904" s="8">
        <f t="shared" si="29"/>
        <v>156.16191999999998</v>
      </c>
      <c r="I904" t="str">
        <v>07-Jul</v>
      </c>
      <c r="L904" t="b">
        <v>0</v>
      </c>
      <c r="N904" t="b">
        <v>0</v>
      </c>
    </row>
    <row r="905" spans="1:14" x14ac:dyDescent="0.35">
      <c r="A905">
        <v>104.41</v>
      </c>
      <c r="B905">
        <v>4</v>
      </c>
      <c r="C905">
        <v>9.6999999999999989E-2</v>
      </c>
      <c r="D905">
        <v>87.66</v>
      </c>
      <c r="F905" s="7">
        <f t="shared" si="28"/>
        <v>377.12891999999999</v>
      </c>
      <c r="G905" s="8">
        <f t="shared" si="29"/>
        <v>128.17107999999999</v>
      </c>
      <c r="I905" t="str">
        <v>01-Jan</v>
      </c>
      <c r="L905" t="b">
        <v>1</v>
      </c>
      <c r="N905" t="b">
        <v>0</v>
      </c>
    </row>
    <row r="906" spans="1:14" x14ac:dyDescent="0.35">
      <c r="A906">
        <v>211.5</v>
      </c>
      <c r="B906">
        <v>4</v>
      </c>
      <c r="C906">
        <v>0.34210000000000002</v>
      </c>
      <c r="D906">
        <v>39.97</v>
      </c>
      <c r="F906" s="7">
        <f t="shared" si="28"/>
        <v>556.58339999999998</v>
      </c>
      <c r="G906" s="8">
        <f t="shared" si="29"/>
        <v>329.38660000000004</v>
      </c>
      <c r="I906" t="str">
        <v>07-Jul</v>
      </c>
      <c r="L906" t="b">
        <v>0</v>
      </c>
      <c r="N906" t="b">
        <v>0</v>
      </c>
    </row>
    <row r="907" spans="1:14" x14ac:dyDescent="0.35">
      <c r="A907">
        <v>157.09</v>
      </c>
      <c r="B907">
        <v>3</v>
      </c>
      <c r="C907">
        <v>0.4889</v>
      </c>
      <c r="D907">
        <v>30.45</v>
      </c>
      <c r="F907" s="7">
        <f t="shared" si="28"/>
        <v>240.866097</v>
      </c>
      <c r="G907" s="8">
        <f t="shared" si="29"/>
        <v>260.853903</v>
      </c>
      <c r="I907" t="str">
        <v>12-Dec</v>
      </c>
      <c r="L907" t="b">
        <v>0</v>
      </c>
      <c r="N907" t="b">
        <v>0</v>
      </c>
    </row>
    <row r="908" spans="1:14" x14ac:dyDescent="0.35">
      <c r="A908">
        <v>354.07</v>
      </c>
      <c r="B908">
        <v>4</v>
      </c>
      <c r="C908">
        <v>0.21010000000000001</v>
      </c>
      <c r="D908">
        <v>10.220000000000001</v>
      </c>
      <c r="F908" s="7">
        <f t="shared" si="28"/>
        <v>1118.719572</v>
      </c>
      <c r="G908" s="8">
        <f t="shared" si="29"/>
        <v>307.78042800000003</v>
      </c>
      <c r="I908" t="str">
        <v>05-May</v>
      </c>
      <c r="L908" t="b">
        <v>0</v>
      </c>
      <c r="N908" t="b">
        <v>0</v>
      </c>
    </row>
    <row r="909" spans="1:14" x14ac:dyDescent="0.35">
      <c r="A909">
        <v>266.73</v>
      </c>
      <c r="B909">
        <v>3</v>
      </c>
      <c r="C909">
        <v>0.19210000000000002</v>
      </c>
      <c r="D909">
        <v>74.53</v>
      </c>
      <c r="F909" s="7">
        <f t="shared" si="28"/>
        <v>646.47350100000006</v>
      </c>
      <c r="G909" s="8">
        <f t="shared" si="29"/>
        <v>228.24649900000003</v>
      </c>
      <c r="I909" t="str">
        <v>03-Mar</v>
      </c>
      <c r="L909" t="b">
        <v>0</v>
      </c>
      <c r="N909" t="b">
        <v>0</v>
      </c>
    </row>
    <row r="910" spans="1:14" x14ac:dyDescent="0.35">
      <c r="A910">
        <v>188.52</v>
      </c>
      <c r="B910">
        <v>4</v>
      </c>
      <c r="C910">
        <v>9.7699999999999995E-2</v>
      </c>
      <c r="D910">
        <v>32.39</v>
      </c>
      <c r="F910" s="7">
        <f t="shared" si="28"/>
        <v>680.406384</v>
      </c>
      <c r="G910" s="8">
        <f t="shared" si="29"/>
        <v>106.063616</v>
      </c>
      <c r="I910" t="str">
        <v>08-Aug</v>
      </c>
      <c r="L910" t="b">
        <v>0</v>
      </c>
      <c r="N910" t="b">
        <v>0</v>
      </c>
    </row>
    <row r="911" spans="1:14" x14ac:dyDescent="0.35">
      <c r="A911">
        <v>57.56</v>
      </c>
      <c r="B911">
        <v>5</v>
      </c>
      <c r="C911">
        <v>0.21890000000000001</v>
      </c>
      <c r="D911">
        <v>53.56</v>
      </c>
      <c r="F911" s="7">
        <f t="shared" si="28"/>
        <v>224.80058000000002</v>
      </c>
      <c r="G911" s="8">
        <f t="shared" si="29"/>
        <v>116.55942000000002</v>
      </c>
      <c r="I911" t="str">
        <v>09-Sep</v>
      </c>
      <c r="L911" t="b">
        <v>0</v>
      </c>
      <c r="N911" t="b">
        <v>0</v>
      </c>
    </row>
    <row r="912" spans="1:14" x14ac:dyDescent="0.35">
      <c r="A912">
        <v>297.2</v>
      </c>
      <c r="B912">
        <v>4</v>
      </c>
      <c r="C912">
        <v>0.37290000000000001</v>
      </c>
      <c r="D912">
        <v>80.010000000000005</v>
      </c>
      <c r="F912" s="7">
        <f t="shared" si="28"/>
        <v>745.49647999999991</v>
      </c>
      <c r="G912" s="8">
        <f t="shared" si="29"/>
        <v>523.31352000000004</v>
      </c>
      <c r="I912" t="str">
        <v>03-Mar</v>
      </c>
      <c r="L912" t="b">
        <v>0</v>
      </c>
      <c r="N912" t="b">
        <v>0</v>
      </c>
    </row>
    <row r="913" spans="1:14" x14ac:dyDescent="0.35">
      <c r="A913">
        <v>258.61</v>
      </c>
      <c r="B913">
        <v>5</v>
      </c>
      <c r="C913">
        <v>0.2752</v>
      </c>
      <c r="D913">
        <v>67.8</v>
      </c>
      <c r="F913" s="7">
        <f t="shared" si="28"/>
        <v>937.20264000000009</v>
      </c>
      <c r="G913" s="8">
        <f t="shared" si="29"/>
        <v>423.64736000000005</v>
      </c>
      <c r="I913" t="str">
        <v>06-Jun</v>
      </c>
      <c r="L913" t="b">
        <v>0</v>
      </c>
      <c r="N913" t="b">
        <v>0</v>
      </c>
    </row>
    <row r="914" spans="1:14" x14ac:dyDescent="0.35">
      <c r="A914">
        <v>240.7</v>
      </c>
      <c r="B914">
        <v>5</v>
      </c>
      <c r="C914">
        <v>0.17899999999999999</v>
      </c>
      <c r="D914">
        <v>46.92</v>
      </c>
      <c r="F914" s="7">
        <f t="shared" si="28"/>
        <v>988.07349999999997</v>
      </c>
      <c r="G914" s="8">
        <f t="shared" si="29"/>
        <v>262.34649999999999</v>
      </c>
      <c r="I914" t="str">
        <v>12-Dec</v>
      </c>
      <c r="L914" t="b">
        <v>0</v>
      </c>
      <c r="N914" t="b">
        <v>0</v>
      </c>
    </row>
    <row r="915" spans="1:14" x14ac:dyDescent="0.35">
      <c r="A915">
        <v>329.04</v>
      </c>
      <c r="B915">
        <v>4</v>
      </c>
      <c r="C915">
        <v>0.40360000000000001</v>
      </c>
      <c r="D915">
        <v>62.35</v>
      </c>
      <c r="F915" s="7">
        <f t="shared" si="28"/>
        <v>784.95782400000007</v>
      </c>
      <c r="G915" s="8">
        <f t="shared" si="29"/>
        <v>593.55217600000003</v>
      </c>
      <c r="I915" t="str">
        <v>07-Jul</v>
      </c>
      <c r="L915" t="b">
        <v>0</v>
      </c>
      <c r="N915" t="b">
        <v>0</v>
      </c>
    </row>
    <row r="916" spans="1:14" x14ac:dyDescent="0.35">
      <c r="A916">
        <v>109.86</v>
      </c>
      <c r="B916">
        <v>3</v>
      </c>
      <c r="C916">
        <v>0.37219999999999998</v>
      </c>
      <c r="D916">
        <v>76.569999999999993</v>
      </c>
      <c r="F916" s="7">
        <f t="shared" si="28"/>
        <v>206.910324</v>
      </c>
      <c r="G916" s="8">
        <f t="shared" si="29"/>
        <v>199.23967599999997</v>
      </c>
      <c r="I916" t="str">
        <v>11-Nov</v>
      </c>
      <c r="L916" t="b">
        <v>0</v>
      </c>
      <c r="N916" t="b">
        <v>0</v>
      </c>
    </row>
    <row r="917" spans="1:14" x14ac:dyDescent="0.35">
      <c r="A917">
        <v>313.56</v>
      </c>
      <c r="B917">
        <v>3</v>
      </c>
      <c r="C917">
        <v>0.24239999999999998</v>
      </c>
      <c r="D917">
        <v>85.05</v>
      </c>
      <c r="F917" s="7">
        <f t="shared" si="28"/>
        <v>712.65916800000014</v>
      </c>
      <c r="G917" s="8">
        <f t="shared" si="29"/>
        <v>313.070832</v>
      </c>
      <c r="I917" t="str">
        <v>10-Oct</v>
      </c>
      <c r="L917" t="b">
        <v>0</v>
      </c>
      <c r="N917" t="b">
        <v>0</v>
      </c>
    </row>
    <row r="918" spans="1:14" x14ac:dyDescent="0.35">
      <c r="A918">
        <v>206.41</v>
      </c>
      <c r="B918">
        <v>5</v>
      </c>
      <c r="C918">
        <v>0.32429999999999998</v>
      </c>
      <c r="D918">
        <v>80.239999999999995</v>
      </c>
      <c r="F918" s="7">
        <f t="shared" si="28"/>
        <v>697.35618499999998</v>
      </c>
      <c r="G918" s="8">
        <f t="shared" si="29"/>
        <v>414.93381499999998</v>
      </c>
      <c r="I918" t="str">
        <v>02-Feb</v>
      </c>
      <c r="L918" t="b">
        <v>0</v>
      </c>
      <c r="N918" t="b">
        <v>0</v>
      </c>
    </row>
    <row r="919" spans="1:14" x14ac:dyDescent="0.35">
      <c r="A919">
        <v>390.24</v>
      </c>
      <c r="B919">
        <v>3</v>
      </c>
      <c r="C919">
        <v>0.27289999999999998</v>
      </c>
      <c r="D919">
        <v>20.66</v>
      </c>
      <c r="F919" s="7">
        <f t="shared" si="28"/>
        <v>851.23051200000009</v>
      </c>
      <c r="G919" s="8">
        <f t="shared" si="29"/>
        <v>340.14948800000002</v>
      </c>
      <c r="I919" t="str">
        <v>01-Jan</v>
      </c>
      <c r="L919" t="b">
        <v>1</v>
      </c>
      <c r="N919" t="b">
        <v>0</v>
      </c>
    </row>
    <row r="920" spans="1:14" x14ac:dyDescent="0.35">
      <c r="A920">
        <v>473.55</v>
      </c>
      <c r="B920">
        <v>5</v>
      </c>
      <c r="C920">
        <v>0.46939999999999998</v>
      </c>
      <c r="D920">
        <v>31.7</v>
      </c>
      <c r="F920" s="7">
        <f t="shared" si="28"/>
        <v>1256.3281499999998</v>
      </c>
      <c r="G920" s="8">
        <f t="shared" si="29"/>
        <v>1143.12185</v>
      </c>
      <c r="I920" t="str">
        <v>10-Oct</v>
      </c>
      <c r="L920" t="b">
        <v>0</v>
      </c>
      <c r="N920" t="b">
        <v>0</v>
      </c>
    </row>
    <row r="921" spans="1:14" x14ac:dyDescent="0.35">
      <c r="A921">
        <v>482.61</v>
      </c>
      <c r="B921">
        <v>5</v>
      </c>
      <c r="C921">
        <v>0.14429999999999998</v>
      </c>
      <c r="D921">
        <v>55.09</v>
      </c>
      <c r="F921" s="7">
        <f t="shared" si="28"/>
        <v>2064.8468850000004</v>
      </c>
      <c r="G921" s="8">
        <f t="shared" si="29"/>
        <v>403.29311499999994</v>
      </c>
      <c r="I921" t="str">
        <v>05-May</v>
      </c>
      <c r="L921" t="b">
        <v>0</v>
      </c>
      <c r="N921" t="b">
        <v>0</v>
      </c>
    </row>
    <row r="922" spans="1:14" x14ac:dyDescent="0.35">
      <c r="A922">
        <v>396.11</v>
      </c>
      <c r="B922">
        <v>3</v>
      </c>
      <c r="C922">
        <v>8.9399999999999993E-2</v>
      </c>
      <c r="D922">
        <v>67.45</v>
      </c>
      <c r="F922" s="7">
        <f t="shared" si="28"/>
        <v>1082.093298</v>
      </c>
      <c r="G922" s="8">
        <f t="shared" si="29"/>
        <v>173.68670199999997</v>
      </c>
      <c r="I922" t="str">
        <v>05-May</v>
      </c>
      <c r="L922" t="b">
        <v>0</v>
      </c>
      <c r="N922" t="b">
        <v>0</v>
      </c>
    </row>
    <row r="923" spans="1:14" x14ac:dyDescent="0.35">
      <c r="A923">
        <v>67.25</v>
      </c>
      <c r="B923">
        <v>5</v>
      </c>
      <c r="C923">
        <v>8.9200000000000002E-2</v>
      </c>
      <c r="D923">
        <v>43.59</v>
      </c>
      <c r="F923" s="7">
        <f t="shared" si="28"/>
        <v>306.25650000000002</v>
      </c>
      <c r="G923" s="8">
        <f t="shared" si="29"/>
        <v>73.583500000000001</v>
      </c>
      <c r="I923" t="str">
        <v>01-Jan</v>
      </c>
      <c r="L923" t="b">
        <v>1</v>
      </c>
      <c r="N923" t="b">
        <v>0</v>
      </c>
    </row>
    <row r="924" spans="1:14" x14ac:dyDescent="0.35">
      <c r="A924">
        <v>398.48</v>
      </c>
      <c r="B924">
        <v>3</v>
      </c>
      <c r="C924">
        <v>0.39770000000000005</v>
      </c>
      <c r="D924">
        <v>88.66</v>
      </c>
      <c r="F924" s="7">
        <f t="shared" si="28"/>
        <v>720.01351199999999</v>
      </c>
      <c r="G924" s="8">
        <f t="shared" si="29"/>
        <v>564.08648800000003</v>
      </c>
      <c r="I924" t="str">
        <v>08-Aug</v>
      </c>
      <c r="L924" t="b">
        <v>0</v>
      </c>
      <c r="N924" t="b">
        <v>0</v>
      </c>
    </row>
    <row r="925" spans="1:14" x14ac:dyDescent="0.35">
      <c r="A925">
        <v>495.73</v>
      </c>
      <c r="B925">
        <v>3</v>
      </c>
      <c r="C925">
        <v>0.49439999999999995</v>
      </c>
      <c r="D925">
        <v>21.1</v>
      </c>
      <c r="F925" s="7">
        <f t="shared" si="28"/>
        <v>751.92326400000013</v>
      </c>
      <c r="G925" s="8">
        <f t="shared" si="29"/>
        <v>756.36673599999995</v>
      </c>
      <c r="I925" t="str">
        <v>10-Oct</v>
      </c>
      <c r="L925" t="b">
        <v>0</v>
      </c>
      <c r="N925" t="b">
        <v>0</v>
      </c>
    </row>
    <row r="926" spans="1:14" x14ac:dyDescent="0.35">
      <c r="A926">
        <v>79.67</v>
      </c>
      <c r="B926">
        <v>4</v>
      </c>
      <c r="C926">
        <v>0.47439999999999999</v>
      </c>
      <c r="D926">
        <v>91.38</v>
      </c>
      <c r="F926" s="7">
        <f t="shared" si="28"/>
        <v>167.49820800000003</v>
      </c>
      <c r="G926" s="8">
        <f t="shared" si="29"/>
        <v>242.561792</v>
      </c>
      <c r="I926" t="str">
        <v>02-Feb</v>
      </c>
      <c r="L926" t="b">
        <v>0</v>
      </c>
      <c r="N926" t="b">
        <v>0</v>
      </c>
    </row>
    <row r="927" spans="1:14" x14ac:dyDescent="0.35">
      <c r="A927">
        <v>324.41000000000003</v>
      </c>
      <c r="B927">
        <v>5</v>
      </c>
      <c r="C927">
        <v>0.22940000000000002</v>
      </c>
      <c r="D927">
        <v>53.24</v>
      </c>
      <c r="F927" s="7">
        <f t="shared" si="28"/>
        <v>1249.95173</v>
      </c>
      <c r="G927" s="8">
        <f t="shared" si="29"/>
        <v>425.33827000000008</v>
      </c>
      <c r="I927" t="str">
        <v>09-Sep</v>
      </c>
      <c r="L927" t="b">
        <v>0</v>
      </c>
      <c r="N927" t="b">
        <v>0</v>
      </c>
    </row>
    <row r="928" spans="1:14" x14ac:dyDescent="0.35">
      <c r="A928">
        <v>347.42</v>
      </c>
      <c r="B928">
        <v>4</v>
      </c>
      <c r="C928">
        <v>0.15590000000000001</v>
      </c>
      <c r="D928">
        <v>52.1</v>
      </c>
      <c r="F928" s="7">
        <f t="shared" si="28"/>
        <v>1173.0288880000001</v>
      </c>
      <c r="G928" s="8">
        <f t="shared" si="29"/>
        <v>268.75111200000003</v>
      </c>
      <c r="I928" t="str">
        <v>01-Jan</v>
      </c>
      <c r="L928" t="b">
        <v>1</v>
      </c>
      <c r="N928" t="b">
        <v>0</v>
      </c>
    </row>
    <row r="929" spans="1:14" x14ac:dyDescent="0.35">
      <c r="A929">
        <v>138.13999999999999</v>
      </c>
      <c r="B929">
        <v>5</v>
      </c>
      <c r="C929">
        <v>0.22020000000000001</v>
      </c>
      <c r="D929">
        <v>31.66</v>
      </c>
      <c r="F929" s="7">
        <f t="shared" si="28"/>
        <v>538.60785999999996</v>
      </c>
      <c r="G929" s="8">
        <f t="shared" si="29"/>
        <v>183.75214</v>
      </c>
      <c r="I929" t="str">
        <v>03-Mar</v>
      </c>
      <c r="L929" t="b">
        <v>0</v>
      </c>
      <c r="N929" t="b">
        <v>0</v>
      </c>
    </row>
    <row r="930" spans="1:14" x14ac:dyDescent="0.35">
      <c r="A930">
        <v>214.89</v>
      </c>
      <c r="B930">
        <v>4</v>
      </c>
      <c r="C930">
        <v>2.0899999999999998E-2</v>
      </c>
      <c r="D930">
        <v>32.96</v>
      </c>
      <c r="F930" s="7">
        <f t="shared" si="28"/>
        <v>841.59519599999987</v>
      </c>
      <c r="G930" s="8">
        <f t="shared" si="29"/>
        <v>50.924803999999995</v>
      </c>
      <c r="I930" t="str">
        <v>12-Dec</v>
      </c>
      <c r="L930" t="b">
        <v>0</v>
      </c>
      <c r="N930" t="b">
        <v>0</v>
      </c>
    </row>
    <row r="931" spans="1:14" x14ac:dyDescent="0.35">
      <c r="A931">
        <v>243.37</v>
      </c>
      <c r="B931">
        <v>5</v>
      </c>
      <c r="C931">
        <v>0.14990000000000001</v>
      </c>
      <c r="D931">
        <v>36.200000000000003</v>
      </c>
      <c r="F931" s="7">
        <f t="shared" si="28"/>
        <v>1034.4441849999998</v>
      </c>
      <c r="G931" s="8">
        <f t="shared" si="29"/>
        <v>218.60581500000001</v>
      </c>
      <c r="I931" t="str">
        <v>03-Mar</v>
      </c>
      <c r="L931" t="b">
        <v>0</v>
      </c>
      <c r="N931" t="b">
        <v>0</v>
      </c>
    </row>
    <row r="932" spans="1:14" x14ac:dyDescent="0.35">
      <c r="A932">
        <v>193.67</v>
      </c>
      <c r="B932">
        <v>5</v>
      </c>
      <c r="C932">
        <v>0.33169999999999999</v>
      </c>
      <c r="D932">
        <v>24.7</v>
      </c>
      <c r="F932" s="7">
        <f t="shared" si="28"/>
        <v>647.14830499999994</v>
      </c>
      <c r="G932" s="8">
        <f t="shared" si="29"/>
        <v>345.90169499999996</v>
      </c>
      <c r="I932" t="str">
        <v>04-Apr</v>
      </c>
      <c r="L932" t="b">
        <v>0</v>
      </c>
      <c r="N932" t="b">
        <v>0</v>
      </c>
    </row>
    <row r="933" spans="1:14" x14ac:dyDescent="0.35">
      <c r="A933">
        <v>106.53</v>
      </c>
      <c r="B933">
        <v>5</v>
      </c>
      <c r="C933">
        <v>0.36509999999999998</v>
      </c>
      <c r="D933">
        <v>85.32</v>
      </c>
      <c r="F933" s="7">
        <f t="shared" si="28"/>
        <v>338.179485</v>
      </c>
      <c r="G933" s="8">
        <f t="shared" si="29"/>
        <v>279.79051499999997</v>
      </c>
      <c r="I933" t="str">
        <v>12-Dec</v>
      </c>
      <c r="L933" t="b">
        <v>0</v>
      </c>
      <c r="N933" t="b">
        <v>0</v>
      </c>
    </row>
    <row r="934" spans="1:14" x14ac:dyDescent="0.35">
      <c r="A934">
        <v>202.16</v>
      </c>
      <c r="B934">
        <v>4</v>
      </c>
      <c r="C934">
        <v>0.3528</v>
      </c>
      <c r="D934">
        <v>29.03</v>
      </c>
      <c r="F934" s="7">
        <f t="shared" si="28"/>
        <v>523.35180800000001</v>
      </c>
      <c r="G934" s="8">
        <f t="shared" si="29"/>
        <v>314.31819199999995</v>
      </c>
      <c r="I934" t="str">
        <v>06-Jun</v>
      </c>
      <c r="L934" t="b">
        <v>0</v>
      </c>
      <c r="N934" t="b">
        <v>0</v>
      </c>
    </row>
    <row r="935" spans="1:14" x14ac:dyDescent="0.35">
      <c r="A935">
        <v>312.54000000000002</v>
      </c>
      <c r="B935">
        <v>3</v>
      </c>
      <c r="C935">
        <v>0.29160000000000003</v>
      </c>
      <c r="D935">
        <v>66.650000000000006</v>
      </c>
      <c r="F935" s="7">
        <f t="shared" si="28"/>
        <v>664.21000800000002</v>
      </c>
      <c r="G935" s="8">
        <f t="shared" si="29"/>
        <v>340.05999200000008</v>
      </c>
      <c r="I935" t="str">
        <v>04-Apr</v>
      </c>
      <c r="L935" t="b">
        <v>0</v>
      </c>
      <c r="N935" t="b">
        <v>0</v>
      </c>
    </row>
    <row r="936" spans="1:14" x14ac:dyDescent="0.35">
      <c r="A936">
        <v>273.19</v>
      </c>
      <c r="B936">
        <v>3</v>
      </c>
      <c r="C936">
        <v>0.32159999999999994</v>
      </c>
      <c r="D936">
        <v>84.99</v>
      </c>
      <c r="F936" s="7">
        <f t="shared" si="28"/>
        <v>555.99628800000005</v>
      </c>
      <c r="G936" s="8">
        <f t="shared" si="29"/>
        <v>348.56371199999995</v>
      </c>
      <c r="I936" t="str">
        <v>02-Feb</v>
      </c>
      <c r="L936" t="b">
        <v>0</v>
      </c>
      <c r="N936" t="b">
        <v>0</v>
      </c>
    </row>
    <row r="937" spans="1:14" x14ac:dyDescent="0.35">
      <c r="A937">
        <v>93.2</v>
      </c>
      <c r="B937">
        <v>4</v>
      </c>
      <c r="C937">
        <v>0.3034</v>
      </c>
      <c r="D937">
        <v>44.1</v>
      </c>
      <c r="F937" s="7">
        <f t="shared" si="28"/>
        <v>259.69247999999999</v>
      </c>
      <c r="G937" s="8">
        <f t="shared" si="29"/>
        <v>157.20752000000002</v>
      </c>
      <c r="I937" t="str">
        <v>10-Oct</v>
      </c>
      <c r="L937" t="b">
        <v>0</v>
      </c>
      <c r="N937" t="b">
        <v>0</v>
      </c>
    </row>
    <row r="938" spans="1:14" x14ac:dyDescent="0.35">
      <c r="A938">
        <v>158.76</v>
      </c>
      <c r="B938">
        <v>5</v>
      </c>
      <c r="C938">
        <v>0.14929999999999999</v>
      </c>
      <c r="D938">
        <v>84.21</v>
      </c>
      <c r="F938" s="7">
        <f t="shared" si="28"/>
        <v>675.28566000000001</v>
      </c>
      <c r="G938" s="8">
        <f t="shared" si="29"/>
        <v>202.72433999999998</v>
      </c>
      <c r="I938" t="str">
        <v>01-Jan</v>
      </c>
      <c r="L938" t="b">
        <v>1</v>
      </c>
      <c r="N938" t="b">
        <v>0</v>
      </c>
    </row>
    <row r="939" spans="1:14" x14ac:dyDescent="0.35">
      <c r="A939">
        <v>256.60000000000002</v>
      </c>
      <c r="B939">
        <v>5</v>
      </c>
      <c r="C939">
        <v>0.4249</v>
      </c>
      <c r="D939">
        <v>81.25</v>
      </c>
      <c r="F939" s="7">
        <f t="shared" si="28"/>
        <v>737.85329999999988</v>
      </c>
      <c r="G939" s="8">
        <f t="shared" si="29"/>
        <v>626.39670000000001</v>
      </c>
      <c r="I939" t="str">
        <v>07-Jul</v>
      </c>
      <c r="L939" t="b">
        <v>0</v>
      </c>
      <c r="N939" t="b">
        <v>0</v>
      </c>
    </row>
    <row r="940" spans="1:14" x14ac:dyDescent="0.35">
      <c r="A940">
        <v>238.59</v>
      </c>
      <c r="B940">
        <v>4</v>
      </c>
      <c r="C940">
        <v>0.24480000000000002</v>
      </c>
      <c r="D940">
        <v>66.56</v>
      </c>
      <c r="F940" s="7">
        <f t="shared" si="28"/>
        <v>720.73267199999998</v>
      </c>
      <c r="G940" s="8">
        <f t="shared" si="29"/>
        <v>300.18732800000004</v>
      </c>
      <c r="I940" t="str">
        <v>11-Nov</v>
      </c>
      <c r="L940" t="b">
        <v>0</v>
      </c>
      <c r="N940" t="b">
        <v>0</v>
      </c>
    </row>
    <row r="941" spans="1:14" x14ac:dyDescent="0.35">
      <c r="A941">
        <v>483.34</v>
      </c>
      <c r="B941">
        <v>5</v>
      </c>
      <c r="C941">
        <v>0.21609999999999999</v>
      </c>
      <c r="D941">
        <v>47.85</v>
      </c>
      <c r="F941" s="7">
        <f t="shared" si="28"/>
        <v>1894.4511299999999</v>
      </c>
      <c r="G941" s="8">
        <f t="shared" si="29"/>
        <v>570.09886999999992</v>
      </c>
      <c r="I941" t="str">
        <v>08-Aug</v>
      </c>
      <c r="L941" t="b">
        <v>0</v>
      </c>
      <c r="N941" t="b">
        <v>0</v>
      </c>
    </row>
    <row r="942" spans="1:14" x14ac:dyDescent="0.35">
      <c r="A942">
        <v>313.92</v>
      </c>
      <c r="B942">
        <v>4</v>
      </c>
      <c r="C942">
        <v>0.1421</v>
      </c>
      <c r="D942">
        <v>44.86</v>
      </c>
      <c r="F942" s="7">
        <f t="shared" si="28"/>
        <v>1077.2478720000001</v>
      </c>
      <c r="G942" s="8">
        <f t="shared" si="29"/>
        <v>223.29212799999999</v>
      </c>
      <c r="I942" t="str">
        <v>09-Sep</v>
      </c>
      <c r="L942" t="b">
        <v>0</v>
      </c>
      <c r="N942" t="b">
        <v>0</v>
      </c>
    </row>
    <row r="943" spans="1:14" x14ac:dyDescent="0.35">
      <c r="A943">
        <v>392.69</v>
      </c>
      <c r="B943">
        <v>4</v>
      </c>
      <c r="C943">
        <v>0.22739999999999999</v>
      </c>
      <c r="D943">
        <v>27.87</v>
      </c>
      <c r="F943" s="7">
        <f t="shared" si="28"/>
        <v>1213.569176</v>
      </c>
      <c r="G943" s="8">
        <f t="shared" si="29"/>
        <v>385.06082399999997</v>
      </c>
      <c r="I943" t="str">
        <v>08-Aug</v>
      </c>
      <c r="L943" t="b">
        <v>0</v>
      </c>
      <c r="N943" t="b">
        <v>0</v>
      </c>
    </row>
    <row r="944" spans="1:14" x14ac:dyDescent="0.35">
      <c r="A944">
        <v>229.58</v>
      </c>
      <c r="B944">
        <v>3</v>
      </c>
      <c r="C944">
        <v>0.22949999999999998</v>
      </c>
      <c r="D944">
        <v>93.91</v>
      </c>
      <c r="F944" s="7">
        <f t="shared" si="28"/>
        <v>530.67417</v>
      </c>
      <c r="G944" s="8">
        <f t="shared" si="29"/>
        <v>251.97582999999997</v>
      </c>
      <c r="I944" t="str">
        <v>05-May</v>
      </c>
      <c r="L944" t="b">
        <v>0</v>
      </c>
      <c r="N944" t="b">
        <v>0</v>
      </c>
    </row>
    <row r="945" spans="1:14" x14ac:dyDescent="0.35">
      <c r="A945">
        <v>258.51</v>
      </c>
      <c r="B945">
        <v>3</v>
      </c>
      <c r="C945">
        <v>0.23829999999999998</v>
      </c>
      <c r="D945">
        <v>87.04</v>
      </c>
      <c r="F945" s="7">
        <f t="shared" si="28"/>
        <v>590.72120100000006</v>
      </c>
      <c r="G945" s="8">
        <f t="shared" si="29"/>
        <v>271.84879899999999</v>
      </c>
      <c r="I945" t="str">
        <v>07-Jul</v>
      </c>
      <c r="L945" t="b">
        <v>0</v>
      </c>
      <c r="N945" t="b">
        <v>0</v>
      </c>
    </row>
    <row r="946" spans="1:14" x14ac:dyDescent="0.35">
      <c r="A946">
        <v>329.11</v>
      </c>
      <c r="B946">
        <v>3</v>
      </c>
      <c r="C946">
        <v>0.30010000000000003</v>
      </c>
      <c r="D946">
        <v>34.200000000000003</v>
      </c>
      <c r="F946" s="7">
        <f t="shared" si="28"/>
        <v>691.03226700000005</v>
      </c>
      <c r="G946" s="8">
        <f t="shared" si="29"/>
        <v>330.49773300000004</v>
      </c>
      <c r="I946" t="str">
        <v>03-Mar</v>
      </c>
      <c r="L946" t="b">
        <v>0</v>
      </c>
      <c r="N946" t="b">
        <v>0</v>
      </c>
    </row>
    <row r="947" spans="1:14" x14ac:dyDescent="0.35">
      <c r="A947">
        <v>401.51</v>
      </c>
      <c r="B947">
        <v>3</v>
      </c>
      <c r="C947">
        <v>6.4699999999999994E-2</v>
      </c>
      <c r="D947">
        <v>99.9</v>
      </c>
      <c r="F947" s="7">
        <f t="shared" si="28"/>
        <v>1126.5969090000001</v>
      </c>
      <c r="G947" s="8">
        <f t="shared" si="29"/>
        <v>177.833091</v>
      </c>
      <c r="I947" t="str">
        <v>07-Jul</v>
      </c>
      <c r="L947" t="b">
        <v>0</v>
      </c>
      <c r="N947" t="b">
        <v>0</v>
      </c>
    </row>
    <row r="948" spans="1:14" x14ac:dyDescent="0.35">
      <c r="A948">
        <v>144.6</v>
      </c>
      <c r="B948">
        <v>3</v>
      </c>
      <c r="C948">
        <v>0.25670000000000004</v>
      </c>
      <c r="D948">
        <v>94.07</v>
      </c>
      <c r="F948" s="7">
        <f t="shared" si="28"/>
        <v>322.44353999999993</v>
      </c>
      <c r="G948" s="8">
        <f t="shared" si="29"/>
        <v>205.42645999999999</v>
      </c>
      <c r="I948" t="str">
        <v>08-Aug</v>
      </c>
      <c r="L948" t="b">
        <v>0</v>
      </c>
      <c r="N948" t="b">
        <v>0</v>
      </c>
    </row>
    <row r="949" spans="1:14" x14ac:dyDescent="0.35">
      <c r="A949">
        <v>169.65</v>
      </c>
      <c r="B949">
        <v>5</v>
      </c>
      <c r="C949">
        <v>0.42700000000000005</v>
      </c>
      <c r="D949">
        <v>25.65</v>
      </c>
      <c r="F949" s="7">
        <f t="shared" si="28"/>
        <v>486.04724999999996</v>
      </c>
      <c r="G949" s="8">
        <f t="shared" si="29"/>
        <v>387.85275000000001</v>
      </c>
      <c r="I949" t="str">
        <v>04-Apr</v>
      </c>
      <c r="L949" t="b">
        <v>0</v>
      </c>
      <c r="N949" t="b">
        <v>0</v>
      </c>
    </row>
    <row r="950" spans="1:14" x14ac:dyDescent="0.35">
      <c r="A950">
        <v>299.37</v>
      </c>
      <c r="B950">
        <v>4</v>
      </c>
      <c r="C950">
        <v>7.6600000000000001E-2</v>
      </c>
      <c r="D950">
        <v>31.25</v>
      </c>
      <c r="F950" s="7">
        <f t="shared" si="28"/>
        <v>1105.7530320000001</v>
      </c>
      <c r="G950" s="8">
        <f t="shared" si="29"/>
        <v>122.976968</v>
      </c>
      <c r="I950" t="str">
        <v>01-Jan</v>
      </c>
      <c r="L950" t="b">
        <v>1</v>
      </c>
      <c r="N950" t="b">
        <v>0</v>
      </c>
    </row>
    <row r="951" spans="1:14" x14ac:dyDescent="0.35">
      <c r="A951">
        <v>169.09</v>
      </c>
      <c r="B951">
        <v>3</v>
      </c>
      <c r="C951">
        <v>0.47170000000000001</v>
      </c>
      <c r="D951">
        <v>24.16</v>
      </c>
      <c r="F951" s="7">
        <f t="shared" si="28"/>
        <v>267.99074100000001</v>
      </c>
      <c r="G951" s="8">
        <f t="shared" si="29"/>
        <v>263.43925899999999</v>
      </c>
      <c r="I951" t="str">
        <v>10-Oct</v>
      </c>
      <c r="L951" t="b">
        <v>0</v>
      </c>
      <c r="N951" t="b">
        <v>0</v>
      </c>
    </row>
    <row r="952" spans="1:14" x14ac:dyDescent="0.35">
      <c r="A952">
        <v>381.08</v>
      </c>
      <c r="B952">
        <v>4</v>
      </c>
      <c r="C952">
        <v>0.4365</v>
      </c>
      <c r="D952">
        <v>83.3</v>
      </c>
      <c r="F952" s="7">
        <f t="shared" si="28"/>
        <v>858.95431999999994</v>
      </c>
      <c r="G952" s="8">
        <f t="shared" si="29"/>
        <v>748.66567999999995</v>
      </c>
      <c r="I952" t="str">
        <v>06-Jun</v>
      </c>
      <c r="L952" t="b">
        <v>0</v>
      </c>
      <c r="N952" t="b">
        <v>0</v>
      </c>
    </row>
    <row r="953" spans="1:14" x14ac:dyDescent="0.35">
      <c r="A953">
        <v>244.45</v>
      </c>
      <c r="B953">
        <v>4</v>
      </c>
      <c r="C953">
        <v>0.44600000000000001</v>
      </c>
      <c r="D953">
        <v>92.55</v>
      </c>
      <c r="F953" s="7">
        <f t="shared" si="28"/>
        <v>541.70119999999997</v>
      </c>
      <c r="G953" s="8">
        <f t="shared" si="29"/>
        <v>528.64879999999994</v>
      </c>
      <c r="I953" t="str">
        <v>05-May</v>
      </c>
      <c r="L953" t="b">
        <v>0</v>
      </c>
      <c r="N953" t="b">
        <v>0</v>
      </c>
    </row>
    <row r="954" spans="1:14" x14ac:dyDescent="0.35">
      <c r="A954">
        <v>277.52</v>
      </c>
      <c r="B954">
        <v>4</v>
      </c>
      <c r="C954">
        <v>0.28520000000000001</v>
      </c>
      <c r="D954">
        <v>39.19</v>
      </c>
      <c r="F954" s="7">
        <f t="shared" si="28"/>
        <v>793.48518399999989</v>
      </c>
      <c r="G954" s="8">
        <f t="shared" si="29"/>
        <v>355.78481599999998</v>
      </c>
      <c r="I954" t="str">
        <v>11-Nov</v>
      </c>
      <c r="L954" t="b">
        <v>0</v>
      </c>
      <c r="N954" t="b">
        <v>0</v>
      </c>
    </row>
    <row r="955" spans="1:14" x14ac:dyDescent="0.35">
      <c r="A955">
        <v>130.44999999999999</v>
      </c>
      <c r="B955">
        <v>3</v>
      </c>
      <c r="C955">
        <v>0.2273</v>
      </c>
      <c r="D955">
        <v>38.729999999999997</v>
      </c>
      <c r="F955" s="7">
        <f t="shared" si="28"/>
        <v>302.39614499999993</v>
      </c>
      <c r="G955" s="8">
        <f t="shared" si="29"/>
        <v>127.68385499999999</v>
      </c>
      <c r="I955" t="str">
        <v>11-Nov</v>
      </c>
      <c r="L955" t="b">
        <v>0</v>
      </c>
      <c r="N955" t="b">
        <v>0</v>
      </c>
    </row>
    <row r="956" spans="1:14" x14ac:dyDescent="0.35">
      <c r="A956">
        <v>213.49</v>
      </c>
      <c r="B956">
        <v>5</v>
      </c>
      <c r="C956">
        <v>0.37079999999999996</v>
      </c>
      <c r="D956">
        <v>71.83</v>
      </c>
      <c r="F956" s="7">
        <f t="shared" si="28"/>
        <v>671.63954000000001</v>
      </c>
      <c r="G956" s="8">
        <f t="shared" si="29"/>
        <v>467.64045999999996</v>
      </c>
      <c r="I956" t="str">
        <v>11-Nov</v>
      </c>
      <c r="L956" t="b">
        <v>0</v>
      </c>
      <c r="N956" t="b">
        <v>0</v>
      </c>
    </row>
    <row r="957" spans="1:14" x14ac:dyDescent="0.35">
      <c r="A957">
        <v>235.53</v>
      </c>
      <c r="B957">
        <v>4</v>
      </c>
      <c r="C957">
        <v>0.44490000000000002</v>
      </c>
      <c r="D957">
        <v>39.090000000000003</v>
      </c>
      <c r="F957" s="7">
        <f t="shared" si="28"/>
        <v>522.97081199999991</v>
      </c>
      <c r="G957" s="8">
        <f t="shared" si="29"/>
        <v>458.23918800000001</v>
      </c>
      <c r="I957" t="str">
        <v>07-Jul</v>
      </c>
      <c r="L957" t="b">
        <v>0</v>
      </c>
      <c r="N957" t="b">
        <v>0</v>
      </c>
    </row>
    <row r="958" spans="1:14" x14ac:dyDescent="0.35">
      <c r="A958">
        <v>310.12</v>
      </c>
      <c r="B958">
        <v>4</v>
      </c>
      <c r="C958">
        <v>9.5000000000000001E-2</v>
      </c>
      <c r="D958">
        <v>23.1</v>
      </c>
      <c r="F958" s="7">
        <f t="shared" si="28"/>
        <v>1122.6344000000001</v>
      </c>
      <c r="G958" s="8">
        <f t="shared" si="29"/>
        <v>140.94560000000001</v>
      </c>
      <c r="I958" t="str">
        <v>09-Sep</v>
      </c>
      <c r="L958" t="b">
        <v>0</v>
      </c>
      <c r="N958" t="b">
        <v>0</v>
      </c>
    </row>
    <row r="959" spans="1:14" x14ac:dyDescent="0.35">
      <c r="A959">
        <v>157.66999999999999</v>
      </c>
      <c r="B959">
        <v>3</v>
      </c>
      <c r="C959">
        <v>0.34009999999999996</v>
      </c>
      <c r="D959">
        <v>14.84</v>
      </c>
      <c r="F959" s="7">
        <f t="shared" si="28"/>
        <v>312.13929899999999</v>
      </c>
      <c r="G959" s="8">
        <f t="shared" si="29"/>
        <v>175.71070099999997</v>
      </c>
      <c r="I959" t="str">
        <v>12-Dec</v>
      </c>
      <c r="L959" t="b">
        <v>0</v>
      </c>
      <c r="N959" t="b">
        <v>0</v>
      </c>
    </row>
    <row r="960" spans="1:14" x14ac:dyDescent="0.35">
      <c r="A960">
        <v>204.12</v>
      </c>
      <c r="B960">
        <v>4</v>
      </c>
      <c r="C960">
        <v>0.39950000000000002</v>
      </c>
      <c r="D960">
        <v>99.59</v>
      </c>
      <c r="F960" s="7">
        <f t="shared" si="28"/>
        <v>490.29624000000001</v>
      </c>
      <c r="G960" s="8">
        <f t="shared" si="29"/>
        <v>425.77376000000004</v>
      </c>
      <c r="I960" t="str">
        <v>06-Jun</v>
      </c>
      <c r="L960" t="b">
        <v>0</v>
      </c>
      <c r="N960" t="b">
        <v>0</v>
      </c>
    </row>
    <row r="961" spans="1:14" x14ac:dyDescent="0.35">
      <c r="A961">
        <v>288.44</v>
      </c>
      <c r="B961">
        <v>4</v>
      </c>
      <c r="C961">
        <v>0.16750000000000001</v>
      </c>
      <c r="D961">
        <v>65.03</v>
      </c>
      <c r="F961" s="7">
        <f t="shared" si="28"/>
        <v>960.50520000000006</v>
      </c>
      <c r="G961" s="8">
        <f t="shared" si="29"/>
        <v>258.28480000000002</v>
      </c>
      <c r="I961" t="str">
        <v>09-Sep</v>
      </c>
      <c r="L961" t="b">
        <v>0</v>
      </c>
      <c r="N961" t="b">
        <v>0</v>
      </c>
    </row>
    <row r="962" spans="1:14" x14ac:dyDescent="0.35">
      <c r="A962">
        <v>236.2</v>
      </c>
      <c r="B962">
        <v>4</v>
      </c>
      <c r="C962">
        <v>0.48670000000000002</v>
      </c>
      <c r="D962">
        <v>93</v>
      </c>
      <c r="F962" s="7">
        <f t="shared" si="28"/>
        <v>484.96583999999996</v>
      </c>
      <c r="G962" s="8">
        <f t="shared" si="29"/>
        <v>552.83416</v>
      </c>
      <c r="I962" t="str">
        <v>11-Nov</v>
      </c>
      <c r="L962" t="b">
        <v>0</v>
      </c>
      <c r="N962" t="b">
        <v>0</v>
      </c>
    </row>
    <row r="963" spans="1:14" x14ac:dyDescent="0.35">
      <c r="A963">
        <v>170.98</v>
      </c>
      <c r="B963">
        <v>5</v>
      </c>
      <c r="C963">
        <v>0.12509999999999999</v>
      </c>
      <c r="D963">
        <v>60.95</v>
      </c>
      <c r="F963" s="7">
        <f t="shared" ref="F963:F1003" si="30">($A963*$B963)*(1-$C963)</f>
        <v>747.95200999999997</v>
      </c>
      <c r="G963" s="8">
        <f t="shared" ref="G963:G1001" si="31">D963+(A963*B963*C963)</f>
        <v>167.89798999999999</v>
      </c>
      <c r="I963" t="str">
        <v>10-Oct</v>
      </c>
      <c r="L963" t="b">
        <v>0</v>
      </c>
      <c r="N963" t="b">
        <v>0</v>
      </c>
    </row>
    <row r="964" spans="1:14" x14ac:dyDescent="0.35">
      <c r="A964">
        <v>143.09</v>
      </c>
      <c r="B964">
        <v>5</v>
      </c>
      <c r="C964">
        <v>2.2000000000000001E-3</v>
      </c>
      <c r="D964">
        <v>39.159999999999997</v>
      </c>
      <c r="F964" s="7">
        <f t="shared" si="30"/>
        <v>713.87601000000006</v>
      </c>
      <c r="G964" s="8">
        <f t="shared" si="31"/>
        <v>40.733989999999999</v>
      </c>
      <c r="I964" t="str">
        <v>03-Mar</v>
      </c>
      <c r="L964" t="b">
        <v>0</v>
      </c>
      <c r="N964" t="b">
        <v>0</v>
      </c>
    </row>
    <row r="965" spans="1:14" x14ac:dyDescent="0.35">
      <c r="A965">
        <v>375.37</v>
      </c>
      <c r="B965">
        <v>5</v>
      </c>
      <c r="C965">
        <v>0.41149999999999998</v>
      </c>
      <c r="D965">
        <v>86.65</v>
      </c>
      <c r="F965" s="7">
        <f t="shared" si="30"/>
        <v>1104.5262250000001</v>
      </c>
      <c r="G965" s="8">
        <f t="shared" si="31"/>
        <v>858.97377499999993</v>
      </c>
      <c r="I965" t="str">
        <v>02-Feb</v>
      </c>
      <c r="L965" t="b">
        <v>0</v>
      </c>
      <c r="N965" t="b">
        <v>0</v>
      </c>
    </row>
    <row r="966" spans="1:14" x14ac:dyDescent="0.35">
      <c r="A966">
        <v>386.66</v>
      </c>
      <c r="B966">
        <v>5</v>
      </c>
      <c r="C966">
        <v>0.22370000000000001</v>
      </c>
      <c r="D966">
        <v>20.440000000000001</v>
      </c>
      <c r="F966" s="7">
        <f t="shared" si="30"/>
        <v>1500.8207900000002</v>
      </c>
      <c r="G966" s="8">
        <f t="shared" si="31"/>
        <v>452.91921000000008</v>
      </c>
      <c r="I966" t="str">
        <v>07-Jul</v>
      </c>
      <c r="L966" t="b">
        <v>0</v>
      </c>
      <c r="N966" t="b">
        <v>0</v>
      </c>
    </row>
    <row r="967" spans="1:14" x14ac:dyDescent="0.35">
      <c r="A967">
        <v>285.24</v>
      </c>
      <c r="B967">
        <v>3</v>
      </c>
      <c r="C967">
        <v>7.5899999999999995E-2</v>
      </c>
      <c r="D967">
        <v>19.12</v>
      </c>
      <c r="F967" s="7">
        <f t="shared" si="30"/>
        <v>790.7708520000001</v>
      </c>
      <c r="G967" s="8">
        <f t="shared" si="31"/>
        <v>84.069147999999998</v>
      </c>
      <c r="I967" t="str">
        <v>12-Dec</v>
      </c>
      <c r="L967" t="b">
        <v>0</v>
      </c>
      <c r="N967" t="b">
        <v>0</v>
      </c>
    </row>
    <row r="968" spans="1:14" x14ac:dyDescent="0.35">
      <c r="A968">
        <v>255.48</v>
      </c>
      <c r="B968">
        <v>4</v>
      </c>
      <c r="C968">
        <v>0.25489999999999996</v>
      </c>
      <c r="D968">
        <v>63.09</v>
      </c>
      <c r="F968" s="7">
        <f t="shared" si="30"/>
        <v>761.43259200000011</v>
      </c>
      <c r="G968" s="8">
        <f t="shared" si="31"/>
        <v>323.57740799999999</v>
      </c>
      <c r="I968" t="str">
        <v>01-Jan</v>
      </c>
      <c r="L968" t="b">
        <v>1</v>
      </c>
      <c r="N968" t="b">
        <v>0</v>
      </c>
    </row>
    <row r="969" spans="1:14" x14ac:dyDescent="0.35">
      <c r="A969">
        <v>50.86</v>
      </c>
      <c r="B969">
        <v>3</v>
      </c>
      <c r="C969">
        <v>3.04E-2</v>
      </c>
      <c r="D969">
        <v>86.27</v>
      </c>
      <c r="F969" s="7">
        <f t="shared" si="30"/>
        <v>147.94156799999999</v>
      </c>
      <c r="G969" s="8">
        <f t="shared" si="31"/>
        <v>90.908431999999991</v>
      </c>
      <c r="I969" t="str">
        <v>12-Dec</v>
      </c>
      <c r="L969" t="b">
        <v>0</v>
      </c>
      <c r="N969" t="b">
        <v>0</v>
      </c>
    </row>
    <row r="970" spans="1:14" x14ac:dyDescent="0.35">
      <c r="A970">
        <v>184.57</v>
      </c>
      <c r="B970">
        <v>5</v>
      </c>
      <c r="C970">
        <v>0.25459999999999999</v>
      </c>
      <c r="D970">
        <v>23.15</v>
      </c>
      <c r="F970" s="7">
        <f t="shared" si="30"/>
        <v>687.89238999999998</v>
      </c>
      <c r="G970" s="8">
        <f t="shared" si="31"/>
        <v>258.10760999999997</v>
      </c>
      <c r="I970" t="str">
        <v>06-Jun</v>
      </c>
      <c r="L970" t="b">
        <v>0</v>
      </c>
      <c r="N970" t="b">
        <v>0</v>
      </c>
    </row>
    <row r="971" spans="1:14" x14ac:dyDescent="0.35">
      <c r="A971">
        <v>154.43</v>
      </c>
      <c r="B971">
        <v>4</v>
      </c>
      <c r="C971">
        <v>2.1099999999999997E-2</v>
      </c>
      <c r="D971">
        <v>16.77</v>
      </c>
      <c r="F971" s="7">
        <f t="shared" si="30"/>
        <v>604.68610799999999</v>
      </c>
      <c r="G971" s="8">
        <f t="shared" si="31"/>
        <v>29.803891999999998</v>
      </c>
      <c r="I971" t="str">
        <v>11-Nov</v>
      </c>
      <c r="L971" t="b">
        <v>0</v>
      </c>
      <c r="N971" t="b">
        <v>0</v>
      </c>
    </row>
    <row r="972" spans="1:14" x14ac:dyDescent="0.35">
      <c r="A972">
        <v>407.69</v>
      </c>
      <c r="B972">
        <v>3</v>
      </c>
      <c r="C972">
        <v>0.38090000000000002</v>
      </c>
      <c r="D972">
        <v>17.39</v>
      </c>
      <c r="F972" s="7">
        <f t="shared" si="30"/>
        <v>757.20263699999998</v>
      </c>
      <c r="G972" s="8">
        <f t="shared" si="31"/>
        <v>483.257363</v>
      </c>
      <c r="I972" t="str">
        <v>03-Mar</v>
      </c>
      <c r="L972" t="b">
        <v>0</v>
      </c>
      <c r="N972" t="b">
        <v>0</v>
      </c>
    </row>
    <row r="973" spans="1:14" x14ac:dyDescent="0.35">
      <c r="A973">
        <v>156.33000000000001</v>
      </c>
      <c r="B973">
        <v>3</v>
      </c>
      <c r="C973">
        <v>0.34079999999999999</v>
      </c>
      <c r="D973">
        <v>66.36</v>
      </c>
      <c r="F973" s="7">
        <f t="shared" si="30"/>
        <v>309.158208</v>
      </c>
      <c r="G973" s="8">
        <f t="shared" si="31"/>
        <v>226.19179200000002</v>
      </c>
      <c r="I973" t="str">
        <v>07-Jul</v>
      </c>
      <c r="L973" t="b">
        <v>0</v>
      </c>
      <c r="N973" t="b">
        <v>0</v>
      </c>
    </row>
    <row r="974" spans="1:14" x14ac:dyDescent="0.35">
      <c r="A974">
        <v>136.62</v>
      </c>
      <c r="B974">
        <v>3</v>
      </c>
      <c r="C974">
        <v>9.1999999999999998E-3</v>
      </c>
      <c r="D974">
        <v>60.33</v>
      </c>
      <c r="F974" s="7">
        <f t="shared" si="30"/>
        <v>406.08928800000001</v>
      </c>
      <c r="G974" s="8">
        <f t="shared" si="31"/>
        <v>64.100712000000001</v>
      </c>
      <c r="I974" t="str">
        <v>02-Feb</v>
      </c>
      <c r="L974" t="b">
        <v>0</v>
      </c>
      <c r="N974" t="b">
        <v>0</v>
      </c>
    </row>
    <row r="975" spans="1:14" x14ac:dyDescent="0.35">
      <c r="A975">
        <v>247.37</v>
      </c>
      <c r="B975">
        <v>4</v>
      </c>
      <c r="C975">
        <v>0.45020000000000004</v>
      </c>
      <c r="D975">
        <v>95.68</v>
      </c>
      <c r="F975" s="7">
        <f t="shared" si="30"/>
        <v>544.01610399999993</v>
      </c>
      <c r="G975" s="8">
        <f t="shared" si="31"/>
        <v>541.14389600000004</v>
      </c>
      <c r="I975" t="str">
        <v>11-Nov</v>
      </c>
      <c r="L975" t="b">
        <v>0</v>
      </c>
      <c r="N975" t="b">
        <v>0</v>
      </c>
    </row>
    <row r="976" spans="1:14" x14ac:dyDescent="0.35">
      <c r="A976">
        <v>173.76</v>
      </c>
      <c r="B976">
        <v>5</v>
      </c>
      <c r="C976">
        <v>0.40369999999999995</v>
      </c>
      <c r="D976">
        <v>97.86</v>
      </c>
      <c r="F976" s="7">
        <f t="shared" si="30"/>
        <v>518.06543999999997</v>
      </c>
      <c r="G976" s="8">
        <f t="shared" si="31"/>
        <v>448.59455999999994</v>
      </c>
      <c r="I976" t="str">
        <v>05-May</v>
      </c>
      <c r="L976" t="b">
        <v>0</v>
      </c>
      <c r="N976" t="b">
        <v>0</v>
      </c>
    </row>
    <row r="977" spans="1:14" x14ac:dyDescent="0.35">
      <c r="A977">
        <v>68.22</v>
      </c>
      <c r="B977">
        <v>3</v>
      </c>
      <c r="C977">
        <v>0.20329999999999998</v>
      </c>
      <c r="D977">
        <v>23.12</v>
      </c>
      <c r="F977" s="7">
        <f t="shared" si="30"/>
        <v>163.05262199999999</v>
      </c>
      <c r="G977" s="8">
        <f t="shared" si="31"/>
        <v>64.727378000000002</v>
      </c>
      <c r="I977" t="str">
        <v>07-Jul</v>
      </c>
      <c r="L977" t="b">
        <v>0</v>
      </c>
      <c r="N977" t="b">
        <v>0</v>
      </c>
    </row>
    <row r="978" spans="1:14" x14ac:dyDescent="0.35">
      <c r="A978">
        <v>279.16000000000003</v>
      </c>
      <c r="B978">
        <v>4</v>
      </c>
      <c r="C978">
        <v>0.18410000000000001</v>
      </c>
      <c r="D978">
        <v>92.49</v>
      </c>
      <c r="F978" s="7">
        <f t="shared" si="30"/>
        <v>911.06657600000005</v>
      </c>
      <c r="G978" s="8">
        <f t="shared" si="31"/>
        <v>298.06342400000005</v>
      </c>
      <c r="I978" t="str">
        <v>09-Sep</v>
      </c>
      <c r="L978" t="b">
        <v>0</v>
      </c>
      <c r="N978" t="b">
        <v>0</v>
      </c>
    </row>
    <row r="979" spans="1:14" x14ac:dyDescent="0.35">
      <c r="A979">
        <v>308.54000000000002</v>
      </c>
      <c r="B979">
        <v>4</v>
      </c>
      <c r="C979">
        <v>0.46020000000000005</v>
      </c>
      <c r="D979">
        <v>11.87</v>
      </c>
      <c r="F979" s="7">
        <f t="shared" si="30"/>
        <v>666.199568</v>
      </c>
      <c r="G979" s="8">
        <f t="shared" si="31"/>
        <v>579.83043200000009</v>
      </c>
      <c r="I979" t="str">
        <v>09-Sep</v>
      </c>
      <c r="L979" t="b">
        <v>0</v>
      </c>
      <c r="N979" t="b">
        <v>0</v>
      </c>
    </row>
    <row r="980" spans="1:14" x14ac:dyDescent="0.35">
      <c r="A980">
        <v>338.65</v>
      </c>
      <c r="B980">
        <v>5</v>
      </c>
      <c r="C980">
        <v>0.10779999999999999</v>
      </c>
      <c r="D980">
        <v>28.09</v>
      </c>
      <c r="F980" s="7">
        <f t="shared" si="30"/>
        <v>1510.71765</v>
      </c>
      <c r="G980" s="8">
        <f t="shared" si="31"/>
        <v>210.62234999999998</v>
      </c>
      <c r="I980" t="str">
        <v>01-Jan</v>
      </c>
      <c r="L980" t="b">
        <v>1</v>
      </c>
      <c r="N980" t="b">
        <v>0</v>
      </c>
    </row>
    <row r="981" spans="1:14" x14ac:dyDescent="0.35">
      <c r="A981">
        <v>417.6</v>
      </c>
      <c r="B981">
        <v>4</v>
      </c>
      <c r="C981">
        <v>0.1789</v>
      </c>
      <c r="D981">
        <v>90.81</v>
      </c>
      <c r="F981" s="7">
        <f t="shared" si="30"/>
        <v>1371.5654400000001</v>
      </c>
      <c r="G981" s="8">
        <f t="shared" si="31"/>
        <v>389.64456000000001</v>
      </c>
      <c r="I981" t="str">
        <v>01-Jan</v>
      </c>
      <c r="L981" t="b">
        <v>1</v>
      </c>
      <c r="N981" t="b">
        <v>0</v>
      </c>
    </row>
    <row r="982" spans="1:14" x14ac:dyDescent="0.35">
      <c r="A982">
        <v>66.95</v>
      </c>
      <c r="B982">
        <v>4</v>
      </c>
      <c r="C982">
        <v>0.44979999999999998</v>
      </c>
      <c r="D982">
        <v>52.53</v>
      </c>
      <c r="F982" s="7">
        <f t="shared" si="30"/>
        <v>147.34356000000002</v>
      </c>
      <c r="G982" s="8">
        <f t="shared" si="31"/>
        <v>172.98644000000002</v>
      </c>
      <c r="I982" t="str">
        <v>10-Oct</v>
      </c>
      <c r="L982" t="b">
        <v>0</v>
      </c>
      <c r="N982" t="b">
        <v>0</v>
      </c>
    </row>
    <row r="983" spans="1:14" x14ac:dyDescent="0.35">
      <c r="A983">
        <v>151</v>
      </c>
      <c r="B983">
        <v>3</v>
      </c>
      <c r="C983">
        <v>0.12300000000000001</v>
      </c>
      <c r="D983">
        <v>99.29</v>
      </c>
      <c r="F983" s="7">
        <f t="shared" si="30"/>
        <v>397.28100000000001</v>
      </c>
      <c r="G983" s="8">
        <f t="shared" si="31"/>
        <v>155.00900000000001</v>
      </c>
      <c r="I983" t="str">
        <v>06-Jun</v>
      </c>
      <c r="L983" t="b">
        <v>0</v>
      </c>
      <c r="N983" t="b">
        <v>0</v>
      </c>
    </row>
    <row r="984" spans="1:14" x14ac:dyDescent="0.35">
      <c r="A984">
        <v>444.84</v>
      </c>
      <c r="B984">
        <v>5</v>
      </c>
      <c r="C984">
        <v>0.22359999999999999</v>
      </c>
      <c r="D984">
        <v>87.05</v>
      </c>
      <c r="F984" s="7">
        <f t="shared" si="30"/>
        <v>1726.8688799999998</v>
      </c>
      <c r="G984" s="8">
        <f t="shared" si="31"/>
        <v>584.3811199999999</v>
      </c>
      <c r="I984" t="str">
        <v>09-Sep</v>
      </c>
      <c r="L984" t="b">
        <v>0</v>
      </c>
      <c r="N984" t="b">
        <v>0</v>
      </c>
    </row>
    <row r="985" spans="1:14" x14ac:dyDescent="0.35">
      <c r="A985">
        <v>204.53</v>
      </c>
      <c r="B985">
        <v>4</v>
      </c>
      <c r="C985">
        <v>6.13E-2</v>
      </c>
      <c r="D985">
        <v>90.51</v>
      </c>
      <c r="F985" s="7">
        <f t="shared" si="30"/>
        <v>767.969244</v>
      </c>
      <c r="G985" s="8">
        <f t="shared" si="31"/>
        <v>140.66075599999999</v>
      </c>
      <c r="I985" t="str">
        <v>10-Oct</v>
      </c>
      <c r="L985" t="b">
        <v>0</v>
      </c>
      <c r="N985" t="b">
        <v>0</v>
      </c>
    </row>
    <row r="986" spans="1:14" x14ac:dyDescent="0.35">
      <c r="A986">
        <v>97.01</v>
      </c>
      <c r="B986">
        <v>5</v>
      </c>
      <c r="C986">
        <v>0.39229999999999998</v>
      </c>
      <c r="D986">
        <v>24.16</v>
      </c>
      <c r="F986" s="7">
        <f t="shared" si="30"/>
        <v>294.76488499999999</v>
      </c>
      <c r="G986" s="8">
        <f t="shared" si="31"/>
        <v>214.44511499999999</v>
      </c>
      <c r="I986" t="str">
        <v>10-Oct</v>
      </c>
      <c r="L986" t="b">
        <v>0</v>
      </c>
      <c r="N986" t="b">
        <v>0</v>
      </c>
    </row>
    <row r="987" spans="1:14" x14ac:dyDescent="0.35">
      <c r="A987">
        <v>245.76</v>
      </c>
      <c r="B987">
        <v>4</v>
      </c>
      <c r="C987">
        <v>0.16109999999999999</v>
      </c>
      <c r="D987">
        <v>38.46</v>
      </c>
      <c r="F987" s="7">
        <f t="shared" si="30"/>
        <v>824.67225599999995</v>
      </c>
      <c r="G987" s="8">
        <f t="shared" si="31"/>
        <v>196.827744</v>
      </c>
      <c r="I987" t="str">
        <v>12-Dec</v>
      </c>
      <c r="L987" t="b">
        <v>0</v>
      </c>
      <c r="N987" t="b">
        <v>0</v>
      </c>
    </row>
    <row r="988" spans="1:14" x14ac:dyDescent="0.35">
      <c r="A988">
        <v>193.88</v>
      </c>
      <c r="B988">
        <v>5</v>
      </c>
      <c r="C988">
        <v>0.2722</v>
      </c>
      <c r="D988">
        <v>18.32</v>
      </c>
      <c r="F988" s="7">
        <f t="shared" si="30"/>
        <v>705.52931999999998</v>
      </c>
      <c r="G988" s="8">
        <f t="shared" si="31"/>
        <v>282.19067999999999</v>
      </c>
      <c r="I988" t="str">
        <v>11-Nov</v>
      </c>
      <c r="L988" t="b">
        <v>0</v>
      </c>
      <c r="N988" t="b">
        <v>0</v>
      </c>
    </row>
    <row r="989" spans="1:14" x14ac:dyDescent="0.35">
      <c r="A989">
        <v>309.77999999999997</v>
      </c>
      <c r="B989">
        <v>5</v>
      </c>
      <c r="C989">
        <v>0.35090000000000005</v>
      </c>
      <c r="D989">
        <v>29.29</v>
      </c>
      <c r="F989" s="7">
        <f t="shared" si="30"/>
        <v>1005.3909899999999</v>
      </c>
      <c r="G989" s="8">
        <f t="shared" si="31"/>
        <v>572.79900999999995</v>
      </c>
      <c r="I989" t="str">
        <v>03-Mar</v>
      </c>
      <c r="L989" t="b">
        <v>0</v>
      </c>
      <c r="N989" t="b">
        <v>0</v>
      </c>
    </row>
    <row r="990" spans="1:14" x14ac:dyDescent="0.35">
      <c r="A990">
        <v>84.32</v>
      </c>
      <c r="B990">
        <v>4</v>
      </c>
      <c r="C990">
        <v>0.42979999999999996</v>
      </c>
      <c r="D990">
        <v>75.17</v>
      </c>
      <c r="F990" s="7">
        <f t="shared" si="30"/>
        <v>192.31705600000001</v>
      </c>
      <c r="G990" s="8">
        <f t="shared" si="31"/>
        <v>220.13294399999995</v>
      </c>
      <c r="I990" t="str">
        <v>10-Oct</v>
      </c>
      <c r="L990" t="b">
        <v>0</v>
      </c>
      <c r="N990" t="b">
        <v>0</v>
      </c>
    </row>
    <row r="991" spans="1:14" x14ac:dyDescent="0.35">
      <c r="A991">
        <v>419.23</v>
      </c>
      <c r="B991">
        <v>4</v>
      </c>
      <c r="C991">
        <v>0.45750000000000002</v>
      </c>
      <c r="D991">
        <v>95.67</v>
      </c>
      <c r="F991" s="7">
        <f t="shared" si="30"/>
        <v>909.72910000000002</v>
      </c>
      <c r="G991" s="8">
        <f t="shared" si="31"/>
        <v>862.86090000000002</v>
      </c>
      <c r="I991" t="str">
        <v>11-Nov</v>
      </c>
      <c r="L991" t="b">
        <v>0</v>
      </c>
      <c r="N991" t="b">
        <v>0</v>
      </c>
    </row>
    <row r="992" spans="1:14" x14ac:dyDescent="0.35">
      <c r="A992">
        <v>326.83</v>
      </c>
      <c r="B992">
        <v>5</v>
      </c>
      <c r="C992">
        <v>0.35869999999999996</v>
      </c>
      <c r="D992">
        <v>50.12</v>
      </c>
      <c r="F992" s="7">
        <f t="shared" si="30"/>
        <v>1047.9803949999998</v>
      </c>
      <c r="G992" s="8">
        <f t="shared" si="31"/>
        <v>636.28960499999994</v>
      </c>
      <c r="I992" t="str">
        <v>03-Mar</v>
      </c>
      <c r="L992" t="b">
        <v>0</v>
      </c>
      <c r="N992" t="b">
        <v>0</v>
      </c>
    </row>
    <row r="993" spans="1:14" x14ac:dyDescent="0.35">
      <c r="A993">
        <v>143.24</v>
      </c>
      <c r="B993">
        <v>3</v>
      </c>
      <c r="C993">
        <v>6.4600000000000005E-2</v>
      </c>
      <c r="D993">
        <v>98.59</v>
      </c>
      <c r="F993" s="7">
        <f t="shared" si="30"/>
        <v>401.96008800000004</v>
      </c>
      <c r="G993" s="8">
        <f t="shared" si="31"/>
        <v>126.349912</v>
      </c>
      <c r="I993" t="str">
        <v>05-May</v>
      </c>
      <c r="L993" t="b">
        <v>0</v>
      </c>
      <c r="N993" t="b">
        <v>0</v>
      </c>
    </row>
    <row r="994" spans="1:14" x14ac:dyDescent="0.35">
      <c r="A994">
        <v>421.27</v>
      </c>
      <c r="B994">
        <v>5</v>
      </c>
      <c r="C994">
        <v>0.2016</v>
      </c>
      <c r="D994">
        <v>62.26</v>
      </c>
      <c r="F994" s="7">
        <f t="shared" si="30"/>
        <v>1681.70984</v>
      </c>
      <c r="G994" s="8">
        <f t="shared" si="31"/>
        <v>486.90015999999997</v>
      </c>
      <c r="I994" t="str">
        <v>10-Oct</v>
      </c>
      <c r="L994" t="b">
        <v>0</v>
      </c>
      <c r="N994" t="b">
        <v>0</v>
      </c>
    </row>
    <row r="995" spans="1:14" x14ac:dyDescent="0.35">
      <c r="A995">
        <v>223.39</v>
      </c>
      <c r="B995">
        <v>4</v>
      </c>
      <c r="C995">
        <v>7.8600000000000003E-2</v>
      </c>
      <c r="D995">
        <v>17.559999999999999</v>
      </c>
      <c r="F995" s="7">
        <f t="shared" si="30"/>
        <v>823.3261839999999</v>
      </c>
      <c r="G995" s="8">
        <f t="shared" si="31"/>
        <v>87.793816000000007</v>
      </c>
      <c r="I995" t="str">
        <v>04-Apr</v>
      </c>
      <c r="L995" t="b">
        <v>0</v>
      </c>
      <c r="N995" t="b">
        <v>0</v>
      </c>
    </row>
    <row r="996" spans="1:14" x14ac:dyDescent="0.35">
      <c r="A996">
        <v>405.34</v>
      </c>
      <c r="B996">
        <v>3</v>
      </c>
      <c r="C996">
        <v>0.25730000000000003</v>
      </c>
      <c r="D996">
        <v>90.32</v>
      </c>
      <c r="F996" s="7">
        <f t="shared" si="30"/>
        <v>903.1380539999999</v>
      </c>
      <c r="G996" s="8">
        <f t="shared" si="31"/>
        <v>403.20194600000002</v>
      </c>
      <c r="I996" t="str">
        <v>06-Jun</v>
      </c>
      <c r="L996" t="b">
        <v>0</v>
      </c>
      <c r="N996" t="b">
        <v>0</v>
      </c>
    </row>
    <row r="997" spans="1:14" x14ac:dyDescent="0.35">
      <c r="A997">
        <v>149.15</v>
      </c>
      <c r="B997">
        <v>4</v>
      </c>
      <c r="C997">
        <v>2.2700000000000001E-2</v>
      </c>
      <c r="D997">
        <v>90.97</v>
      </c>
      <c r="F997" s="7">
        <f t="shared" si="30"/>
        <v>583.05718000000002</v>
      </c>
      <c r="G997" s="8">
        <f t="shared" si="31"/>
        <v>104.51282</v>
      </c>
      <c r="I997" t="str">
        <v>11-Nov</v>
      </c>
      <c r="L997" t="b">
        <v>0</v>
      </c>
      <c r="N997" t="b">
        <v>0</v>
      </c>
    </row>
    <row r="998" spans="1:14" x14ac:dyDescent="0.35">
      <c r="A998">
        <v>248.06</v>
      </c>
      <c r="B998">
        <v>4</v>
      </c>
      <c r="C998">
        <v>0.31390000000000001</v>
      </c>
      <c r="D998">
        <v>75.58</v>
      </c>
      <c r="F998" s="7">
        <f t="shared" si="30"/>
        <v>680.77586399999996</v>
      </c>
      <c r="G998" s="8">
        <f t="shared" si="31"/>
        <v>387.04413599999998</v>
      </c>
      <c r="I998" t="str">
        <v>04-Apr</v>
      </c>
      <c r="L998" t="b">
        <v>0</v>
      </c>
      <c r="N998" t="b">
        <v>0</v>
      </c>
    </row>
    <row r="999" spans="1:14" x14ac:dyDescent="0.35">
      <c r="A999">
        <v>148.97999999999999</v>
      </c>
      <c r="B999">
        <v>5</v>
      </c>
      <c r="C999">
        <v>0.36249999999999999</v>
      </c>
      <c r="D999">
        <v>74.72</v>
      </c>
      <c r="F999" s="7">
        <f t="shared" si="30"/>
        <v>474.87374999999997</v>
      </c>
      <c r="G999" s="8">
        <f t="shared" si="31"/>
        <v>344.74625000000003</v>
      </c>
      <c r="I999" t="str">
        <v>12-Dec</v>
      </c>
      <c r="L999" t="b">
        <v>0</v>
      </c>
      <c r="N999" t="b">
        <v>0</v>
      </c>
    </row>
    <row r="1000" spans="1:14" x14ac:dyDescent="0.35">
      <c r="A1000">
        <v>384.5</v>
      </c>
      <c r="B1000">
        <v>3</v>
      </c>
      <c r="C1000">
        <v>0.13500000000000001</v>
      </c>
      <c r="D1000">
        <v>20.95</v>
      </c>
      <c r="F1000" s="7">
        <f t="shared" si="30"/>
        <v>997.77750000000003</v>
      </c>
      <c r="G1000" s="8">
        <f t="shared" si="31"/>
        <v>176.67249999999999</v>
      </c>
      <c r="I1000" t="str">
        <v>04-Apr</v>
      </c>
      <c r="L1000" t="b">
        <v>0</v>
      </c>
      <c r="N1000" t="b">
        <v>0</v>
      </c>
    </row>
    <row r="1001" spans="1:14" x14ac:dyDescent="0.35">
      <c r="A1001">
        <v>435.37</v>
      </c>
      <c r="B1001">
        <v>5</v>
      </c>
      <c r="C1001">
        <v>0.40360000000000001</v>
      </c>
      <c r="D1001">
        <v>77.23</v>
      </c>
      <c r="F1001" s="7">
        <f t="shared" si="30"/>
        <v>1298.27334</v>
      </c>
      <c r="G1001" s="8">
        <f t="shared" si="31"/>
        <v>955.80665999999997</v>
      </c>
      <c r="I1001" t="str">
        <v>12-Dec</v>
      </c>
      <c r="L1001" t="b">
        <v>0</v>
      </c>
      <c r="N10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D506-8CD1-44A2-853C-DA1F8B924B9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4DB4-A71D-4FE6-A80C-E2CC23D68F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</vt:lpstr>
      <vt:lpstr>BASIC CACULATOR</vt:lpstr>
      <vt:lpstr>DATA VALIDATION</vt:lpstr>
      <vt:lpstr>R&amp;C VS T</vt:lpstr>
      <vt:lpstr>PRODUCT</vt:lpstr>
      <vt:lpstr>R$C VS REGION</vt:lpstr>
      <vt:lpstr>CS</vt:lpstr>
      <vt:lpstr>PRODUCT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Awene Dickson</cp:lastModifiedBy>
  <dcterms:created xsi:type="dcterms:W3CDTF">2025-12-16T21:08:09Z</dcterms:created>
  <dcterms:modified xsi:type="dcterms:W3CDTF">2025-12-17T15:42:56Z</dcterms:modified>
</cp:coreProperties>
</file>